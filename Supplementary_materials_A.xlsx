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oradvandi\OneDrive - Delft University of Technology\Documents\TU Delft\Postdoc\Paper\"/>
    </mc:Choice>
  </mc:AlternateContent>
  <xr:revisionPtr revIDLastSave="0" documentId="13_ncr:1_{0DB56ACB-F5DF-405B-A3B9-1DA08B7C177B}" xr6:coauthVersionLast="47" xr6:coauthVersionMax="47" xr10:uidLastSave="{00000000-0000-0000-0000-000000000000}"/>
  <bookViews>
    <workbookView xWindow="57480" yWindow="-120" windowWidth="29040" windowHeight="15720" tabRatio="908" xr2:uid="{00000000-000D-0000-FFFF-FFFF00000000}"/>
  </bookViews>
  <sheets>
    <sheet name="Plant Costs | CAPEX and OPEX" sheetId="3" r:id="rId1"/>
    <sheet name="Steam Prices Calculations" sheetId="52" r:id="rId2"/>
    <sheet name="Historical Prices References" sheetId="2" r:id="rId3"/>
    <sheet name="Re-costed Prices Calculations" sheetId="58" r:id="rId4"/>
    <sheet name="Elec" sheetId="43" r:id="rId5"/>
    <sheet name="EO" sheetId="5" r:id="rId6"/>
    <sheet name="C2E" sheetId="6" r:id="rId7"/>
    <sheet name="EB" sheetId="31" r:id="rId8"/>
    <sheet name="BZ" sheetId="7" r:id="rId9"/>
    <sheet name="MEG" sheetId="8" r:id="rId10"/>
    <sheet name="MeOH" sheetId="9" r:id="rId11"/>
    <sheet name="MTBE" sheetId="10" r:id="rId12"/>
    <sheet name="TBA" sheetId="11" r:id="rId13"/>
    <sheet name="iCfourA" sheetId="12" r:id="rId14"/>
    <sheet name="Naphtha" sheetId="13" r:id="rId15"/>
    <sheet name="CthreeE" sheetId="14" r:id="rId16"/>
    <sheet name="Buta" sheetId="15" r:id="rId17"/>
    <sheet name="nC4A" sheetId="17" r:id="rId18"/>
    <sheet name="PO" sheetId="18" r:id="rId19"/>
    <sheet name="PG" sheetId="19" r:id="rId20"/>
    <sheet name="Styrene" sheetId="20" r:id="rId21"/>
    <sheet name="HCHO" sheetId="21" r:id="rId22"/>
    <sheet name="Pxylene" sheetId="33" r:id="rId23"/>
    <sheet name="Diesel" sheetId="22" r:id="rId24"/>
    <sheet name="VGO" sheetId="23" r:id="rId25"/>
    <sheet name="iCfourE" sheetId="25" r:id="rId26"/>
    <sheet name="PP" sheetId="45" r:id="rId27"/>
    <sheet name="PE" sheetId="44" r:id="rId28"/>
    <sheet name="O2" sheetId="49" r:id="rId29"/>
    <sheet name="Biomass" sheetId="47" r:id="rId30"/>
    <sheet name="H2" sheetId="46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C20" i="3"/>
  <c r="C17" i="3"/>
  <c r="C30" i="3" l="1"/>
  <c r="C21" i="3"/>
  <c r="C23" i="3"/>
  <c r="C31" i="3"/>
  <c r="C22" i="3" l="1"/>
  <c r="C24" i="3" s="1"/>
  <c r="H9" i="52"/>
  <c r="F9" i="52"/>
  <c r="H8" i="52"/>
  <c r="F8" i="52"/>
  <c r="H7" i="52"/>
  <c r="F7" i="52"/>
  <c r="H6" i="52"/>
  <c r="F6" i="52"/>
  <c r="C98" i="52"/>
  <c r="D98" i="52" s="1"/>
  <c r="E98" i="52" s="1"/>
  <c r="F98" i="52" s="1"/>
  <c r="G98" i="52" s="1"/>
  <c r="C97" i="52"/>
  <c r="D97" i="52" s="1"/>
  <c r="E97" i="52" s="1"/>
  <c r="F97" i="52" s="1"/>
  <c r="G97" i="52" s="1"/>
  <c r="C96" i="52"/>
  <c r="D96" i="52" s="1"/>
  <c r="E96" i="52" s="1"/>
  <c r="F96" i="52" s="1"/>
  <c r="G96" i="52" s="1"/>
  <c r="C95" i="52"/>
  <c r="D95" i="52" s="1"/>
  <c r="E95" i="52" s="1"/>
  <c r="F95" i="52" s="1"/>
  <c r="G95" i="52" s="1"/>
  <c r="C94" i="52"/>
  <c r="D94" i="52" s="1"/>
  <c r="E94" i="52" s="1"/>
  <c r="F94" i="52" s="1"/>
  <c r="G94" i="52" s="1"/>
  <c r="C93" i="52"/>
  <c r="D93" i="52" s="1"/>
  <c r="E93" i="52" s="1"/>
  <c r="F93" i="52" s="1"/>
  <c r="G93" i="52" s="1"/>
  <c r="C92" i="52"/>
  <c r="D92" i="52" s="1"/>
  <c r="E92" i="52" s="1"/>
  <c r="F92" i="52" s="1"/>
  <c r="G92" i="52" s="1"/>
  <c r="C91" i="52"/>
  <c r="D91" i="52" s="1"/>
  <c r="E91" i="52" s="1"/>
  <c r="F91" i="52" s="1"/>
  <c r="G91" i="52" s="1"/>
  <c r="C90" i="52"/>
  <c r="D90" i="52" s="1"/>
  <c r="E90" i="52" s="1"/>
  <c r="F90" i="52" s="1"/>
  <c r="G90" i="52" s="1"/>
  <c r="C89" i="52"/>
  <c r="D89" i="52" s="1"/>
  <c r="E89" i="52" s="1"/>
  <c r="F89" i="52" s="1"/>
  <c r="G89" i="52" s="1"/>
  <c r="C88" i="52"/>
  <c r="D88" i="52" s="1"/>
  <c r="E88" i="52" s="1"/>
  <c r="F88" i="52" s="1"/>
  <c r="G88" i="52" s="1"/>
  <c r="C87" i="52"/>
  <c r="D87" i="52" s="1"/>
  <c r="E87" i="52" s="1"/>
  <c r="F87" i="52" s="1"/>
  <c r="G87" i="52" s="1"/>
  <c r="C86" i="52"/>
  <c r="D86" i="52" s="1"/>
  <c r="E86" i="52" s="1"/>
  <c r="F86" i="52" s="1"/>
  <c r="G86" i="52" s="1"/>
  <c r="C85" i="52"/>
  <c r="D85" i="52" s="1"/>
  <c r="E85" i="52" s="1"/>
  <c r="F85" i="52" s="1"/>
  <c r="G85" i="52" s="1"/>
  <c r="C84" i="52"/>
  <c r="D84" i="52" s="1"/>
  <c r="E84" i="52" s="1"/>
  <c r="F84" i="52" s="1"/>
  <c r="G84" i="52" s="1"/>
  <c r="C83" i="52"/>
  <c r="D83" i="52" s="1"/>
  <c r="E83" i="52" s="1"/>
  <c r="F83" i="52" s="1"/>
  <c r="G83" i="52" s="1"/>
  <c r="C82" i="52"/>
  <c r="D82" i="52" s="1"/>
  <c r="E82" i="52" s="1"/>
  <c r="F82" i="52" s="1"/>
  <c r="G82" i="52" s="1"/>
  <c r="C81" i="52"/>
  <c r="D81" i="52" s="1"/>
  <c r="E81" i="52" s="1"/>
  <c r="F81" i="52" s="1"/>
  <c r="G81" i="52" s="1"/>
  <c r="C80" i="52"/>
  <c r="D80" i="52" s="1"/>
  <c r="E80" i="52" s="1"/>
  <c r="F80" i="52" s="1"/>
  <c r="G80" i="52" s="1"/>
  <c r="C79" i="52"/>
  <c r="D79" i="52" s="1"/>
  <c r="E79" i="52" s="1"/>
  <c r="F79" i="52" s="1"/>
  <c r="G79" i="52" s="1"/>
  <c r="C78" i="52"/>
  <c r="D78" i="52" s="1"/>
  <c r="E78" i="52" s="1"/>
  <c r="F78" i="52" s="1"/>
  <c r="G78" i="52" s="1"/>
  <c r="C77" i="52"/>
  <c r="D77" i="52" s="1"/>
  <c r="E77" i="52" s="1"/>
  <c r="F77" i="52" s="1"/>
  <c r="G77" i="52" s="1"/>
  <c r="C76" i="52"/>
  <c r="D76" i="52" s="1"/>
  <c r="E76" i="52" s="1"/>
  <c r="F76" i="52" s="1"/>
  <c r="G76" i="52" s="1"/>
  <c r="C75" i="52"/>
  <c r="D75" i="52" s="1"/>
  <c r="E75" i="52" s="1"/>
  <c r="F75" i="52" s="1"/>
  <c r="G75" i="52" s="1"/>
  <c r="C74" i="52"/>
  <c r="D74" i="52" s="1"/>
  <c r="E74" i="52" s="1"/>
  <c r="F74" i="52" s="1"/>
  <c r="G74" i="52" s="1"/>
  <c r="C73" i="52"/>
  <c r="D73" i="52" s="1"/>
  <c r="E73" i="52" s="1"/>
  <c r="F73" i="52" s="1"/>
  <c r="G73" i="52" s="1"/>
  <c r="C72" i="52"/>
  <c r="D72" i="52" s="1"/>
  <c r="E72" i="52" s="1"/>
  <c r="F72" i="52" s="1"/>
  <c r="G72" i="52" s="1"/>
  <c r="C71" i="52"/>
  <c r="D71" i="52" s="1"/>
  <c r="E71" i="52" s="1"/>
  <c r="F71" i="52" s="1"/>
  <c r="G71" i="52" s="1"/>
  <c r="C70" i="52"/>
  <c r="D70" i="52" s="1"/>
  <c r="E70" i="52" s="1"/>
  <c r="F70" i="52" s="1"/>
  <c r="G70" i="52" s="1"/>
  <c r="C69" i="52"/>
  <c r="D69" i="52" s="1"/>
  <c r="E69" i="52" s="1"/>
  <c r="F69" i="52" s="1"/>
  <c r="G69" i="52" s="1"/>
  <c r="C68" i="52"/>
  <c r="D68" i="52" s="1"/>
  <c r="E68" i="52" s="1"/>
  <c r="F68" i="52" s="1"/>
  <c r="G68" i="52" s="1"/>
  <c r="C67" i="52"/>
  <c r="D67" i="52" s="1"/>
  <c r="E67" i="52" s="1"/>
  <c r="F67" i="52" s="1"/>
  <c r="G67" i="52" s="1"/>
  <c r="C66" i="52"/>
  <c r="D66" i="52" s="1"/>
  <c r="E66" i="52" s="1"/>
  <c r="F66" i="52" s="1"/>
  <c r="G66" i="52" s="1"/>
  <c r="C65" i="52"/>
  <c r="D65" i="52" s="1"/>
  <c r="E65" i="52" s="1"/>
  <c r="F65" i="52" s="1"/>
  <c r="G65" i="52" s="1"/>
  <c r="C64" i="52"/>
  <c r="D64" i="52" s="1"/>
  <c r="E64" i="52" s="1"/>
  <c r="F64" i="52" s="1"/>
  <c r="G64" i="52" s="1"/>
  <c r="C63" i="52"/>
  <c r="D63" i="52" s="1"/>
  <c r="E63" i="52" s="1"/>
  <c r="F63" i="52" s="1"/>
  <c r="G63" i="52" s="1"/>
  <c r="C62" i="52"/>
  <c r="D62" i="52" s="1"/>
  <c r="E62" i="52" s="1"/>
  <c r="F62" i="52" s="1"/>
  <c r="G62" i="52" s="1"/>
  <c r="C61" i="52"/>
  <c r="D61" i="52" s="1"/>
  <c r="E61" i="52" s="1"/>
  <c r="F61" i="52" s="1"/>
  <c r="G61" i="52" s="1"/>
  <c r="C60" i="52"/>
  <c r="D60" i="52" s="1"/>
  <c r="E60" i="52" s="1"/>
  <c r="F60" i="52" s="1"/>
  <c r="G60" i="52" s="1"/>
  <c r="C59" i="52"/>
  <c r="D59" i="52" s="1"/>
  <c r="E59" i="52" s="1"/>
  <c r="F59" i="52" s="1"/>
  <c r="G59" i="52" s="1"/>
  <c r="C58" i="52"/>
  <c r="D58" i="52" s="1"/>
  <c r="E58" i="52" s="1"/>
  <c r="F58" i="52" s="1"/>
  <c r="G58" i="52" s="1"/>
  <c r="C57" i="52"/>
  <c r="D57" i="52" s="1"/>
  <c r="E57" i="52" s="1"/>
  <c r="F57" i="52" s="1"/>
  <c r="G57" i="52" s="1"/>
  <c r="C56" i="52"/>
  <c r="D56" i="52" s="1"/>
  <c r="E56" i="52" s="1"/>
  <c r="F56" i="52" s="1"/>
  <c r="G56" i="52" s="1"/>
  <c r="C55" i="52"/>
  <c r="D55" i="52" s="1"/>
  <c r="E55" i="52" s="1"/>
  <c r="F55" i="52" s="1"/>
  <c r="G55" i="52" s="1"/>
  <c r="C54" i="52"/>
  <c r="D54" i="52" s="1"/>
  <c r="E54" i="52" s="1"/>
  <c r="F54" i="52" s="1"/>
  <c r="G54" i="52" s="1"/>
  <c r="C53" i="52"/>
  <c r="D53" i="52" s="1"/>
  <c r="E53" i="52" s="1"/>
  <c r="F53" i="52" s="1"/>
  <c r="G53" i="52" s="1"/>
  <c r="C52" i="52"/>
  <c r="D52" i="52" s="1"/>
  <c r="E52" i="52" s="1"/>
  <c r="F52" i="52" s="1"/>
  <c r="G52" i="52" s="1"/>
  <c r="C51" i="52"/>
  <c r="D51" i="52" s="1"/>
  <c r="E51" i="52" s="1"/>
  <c r="F51" i="52" s="1"/>
  <c r="G51" i="52" s="1"/>
  <c r="C50" i="52"/>
  <c r="D50" i="52" s="1"/>
  <c r="E50" i="52" s="1"/>
  <c r="F50" i="52" s="1"/>
  <c r="G50" i="52" s="1"/>
  <c r="C49" i="52"/>
  <c r="D49" i="52" s="1"/>
  <c r="E49" i="52" s="1"/>
  <c r="F49" i="52" s="1"/>
  <c r="G49" i="52" s="1"/>
  <c r="C48" i="52"/>
  <c r="D48" i="52" s="1"/>
  <c r="E48" i="52" s="1"/>
  <c r="F48" i="52" s="1"/>
  <c r="G48" i="52" s="1"/>
  <c r="C47" i="52"/>
  <c r="D47" i="52" s="1"/>
  <c r="E47" i="52" s="1"/>
  <c r="F47" i="52" s="1"/>
  <c r="G47" i="52" s="1"/>
  <c r="C46" i="52"/>
  <c r="D46" i="52" s="1"/>
  <c r="E46" i="52" s="1"/>
  <c r="F46" i="52" s="1"/>
  <c r="G46" i="52" s="1"/>
  <c r="C45" i="52"/>
  <c r="D45" i="52" s="1"/>
  <c r="E45" i="52" s="1"/>
  <c r="F45" i="52" s="1"/>
  <c r="G45" i="52" s="1"/>
  <c r="C44" i="52"/>
  <c r="D44" i="52" s="1"/>
  <c r="E44" i="52" s="1"/>
  <c r="F44" i="52" s="1"/>
  <c r="G44" i="52" s="1"/>
  <c r="C43" i="52"/>
  <c r="D43" i="52" s="1"/>
  <c r="E43" i="52" s="1"/>
  <c r="F43" i="52" s="1"/>
  <c r="G43" i="52" s="1"/>
  <c r="C42" i="52"/>
  <c r="D42" i="52" s="1"/>
  <c r="E42" i="52" s="1"/>
  <c r="F42" i="52" s="1"/>
  <c r="G42" i="52" s="1"/>
  <c r="C41" i="52"/>
  <c r="D41" i="52" s="1"/>
  <c r="E41" i="52" s="1"/>
  <c r="F41" i="52" s="1"/>
  <c r="G41" i="52" s="1"/>
  <c r="C40" i="52"/>
  <c r="D40" i="52" s="1"/>
  <c r="E40" i="52" s="1"/>
  <c r="F40" i="52" s="1"/>
  <c r="G40" i="52" s="1"/>
  <c r="C39" i="52"/>
  <c r="D39" i="52" s="1"/>
  <c r="E39" i="52" s="1"/>
  <c r="F39" i="52" s="1"/>
  <c r="G39" i="52" s="1"/>
  <c r="C38" i="52"/>
  <c r="D38" i="52" s="1"/>
  <c r="E38" i="52" s="1"/>
  <c r="F38" i="52" s="1"/>
  <c r="G38" i="52" s="1"/>
  <c r="C37" i="52"/>
  <c r="D37" i="52" s="1"/>
  <c r="E37" i="52" s="1"/>
  <c r="F37" i="52" s="1"/>
  <c r="G37" i="52" s="1"/>
  <c r="C36" i="52"/>
  <c r="D36" i="52" s="1"/>
  <c r="E36" i="52" s="1"/>
  <c r="F36" i="52" s="1"/>
  <c r="G36" i="52" s="1"/>
  <c r="C35" i="52"/>
  <c r="D35" i="52" s="1"/>
  <c r="E35" i="52" s="1"/>
  <c r="F35" i="52" s="1"/>
  <c r="G35" i="52" s="1"/>
  <c r="C34" i="52"/>
  <c r="D34" i="52" s="1"/>
  <c r="E34" i="52" s="1"/>
  <c r="F34" i="52" s="1"/>
  <c r="G34" i="52" s="1"/>
  <c r="C33" i="52"/>
  <c r="D33" i="52" s="1"/>
  <c r="E33" i="52" s="1"/>
  <c r="F33" i="52" s="1"/>
  <c r="G33" i="52" s="1"/>
  <c r="C32" i="52"/>
  <c r="D32" i="52" s="1"/>
  <c r="E32" i="52" s="1"/>
  <c r="F32" i="52" s="1"/>
  <c r="G32" i="52" s="1"/>
  <c r="C31" i="52"/>
  <c r="D31" i="52" s="1"/>
  <c r="E31" i="52" s="1"/>
  <c r="F31" i="52" s="1"/>
  <c r="G31" i="52" s="1"/>
  <c r="C30" i="52"/>
  <c r="D30" i="52" s="1"/>
  <c r="E30" i="52" s="1"/>
  <c r="F30" i="52" s="1"/>
  <c r="G30" i="52" s="1"/>
  <c r="C29" i="52"/>
  <c r="D29" i="52" s="1"/>
  <c r="E29" i="52" s="1"/>
  <c r="F29" i="52" s="1"/>
  <c r="G29" i="52" s="1"/>
  <c r="C28" i="52"/>
  <c r="D28" i="52" s="1"/>
  <c r="E28" i="52" s="1"/>
  <c r="F28" i="52" s="1"/>
  <c r="G28" i="52" s="1"/>
  <c r="C27" i="52"/>
  <c r="D27" i="52" s="1"/>
  <c r="E27" i="52" s="1"/>
  <c r="F27" i="52" s="1"/>
  <c r="G27" i="52" s="1"/>
  <c r="C26" i="52"/>
  <c r="D26" i="52" s="1"/>
  <c r="E26" i="52" s="1"/>
  <c r="F26" i="52" s="1"/>
  <c r="G26" i="52" s="1"/>
  <c r="C25" i="52"/>
  <c r="D25" i="52" s="1"/>
  <c r="E25" i="52" s="1"/>
  <c r="F25" i="52" s="1"/>
  <c r="G25" i="52" s="1"/>
  <c r="C24" i="52"/>
  <c r="D24" i="52" s="1"/>
  <c r="E24" i="52" s="1"/>
  <c r="F24" i="52" s="1"/>
  <c r="G24" i="52" s="1"/>
  <c r="C23" i="52"/>
  <c r="D23" i="52" s="1"/>
  <c r="E23" i="52" s="1"/>
  <c r="F23" i="52" s="1"/>
  <c r="G23" i="52" s="1"/>
  <c r="C22" i="52"/>
  <c r="D22" i="52" s="1"/>
  <c r="E22" i="52" s="1"/>
  <c r="F22" i="52" s="1"/>
  <c r="G22" i="52" s="1"/>
  <c r="C21" i="52"/>
  <c r="D21" i="52" s="1"/>
  <c r="E21" i="52" s="1"/>
  <c r="F21" i="52" s="1"/>
  <c r="G21" i="52" s="1"/>
  <c r="C20" i="52"/>
  <c r="D20" i="52" s="1"/>
  <c r="E20" i="52" s="1"/>
  <c r="F20" i="52" s="1"/>
  <c r="G20" i="52" s="1"/>
  <c r="C19" i="52"/>
  <c r="D19" i="52" s="1"/>
  <c r="E19" i="52" s="1"/>
  <c r="F19" i="52" s="1"/>
  <c r="G19" i="52" s="1"/>
  <c r="C18" i="52"/>
  <c r="D18" i="52" s="1"/>
  <c r="E18" i="52" s="1"/>
  <c r="F18" i="52" s="1"/>
  <c r="G18" i="52" s="1"/>
  <c r="C17" i="52"/>
  <c r="D17" i="52" s="1"/>
  <c r="E17" i="52" s="1"/>
  <c r="F17" i="52" s="1"/>
  <c r="G17" i="52" s="1"/>
  <c r="C16" i="52"/>
  <c r="D16" i="52" s="1"/>
  <c r="E16" i="52" s="1"/>
  <c r="F16" i="52" s="1"/>
  <c r="G16" i="52" s="1"/>
  <c r="C15" i="52"/>
  <c r="D15" i="52" s="1"/>
  <c r="E15" i="52" s="1"/>
  <c r="F15" i="52" s="1"/>
  <c r="G15" i="52" s="1"/>
  <c r="C25" i="3" l="1"/>
  <c r="B20" i="3"/>
  <c r="B21" i="3" s="1"/>
  <c r="D20" i="3"/>
  <c r="D21" i="3" s="1"/>
  <c r="D23" i="3" s="1"/>
  <c r="F20" i="3"/>
  <c r="G20" i="3"/>
  <c r="G21" i="3" s="1"/>
  <c r="H20" i="3"/>
  <c r="H21" i="3" s="1"/>
  <c r="I20" i="3"/>
  <c r="I21" i="3" s="1"/>
  <c r="I23" i="3" s="1"/>
  <c r="J20" i="3"/>
  <c r="J21" i="3" s="1"/>
  <c r="K20" i="3"/>
  <c r="L20" i="3"/>
  <c r="M20" i="3"/>
  <c r="F29" i="3"/>
  <c r="G29" i="3"/>
  <c r="H29" i="3"/>
  <c r="H30" i="3" s="1"/>
  <c r="I29" i="3"/>
  <c r="I30" i="3" s="1"/>
  <c r="J29" i="3"/>
  <c r="J30" i="3" s="1"/>
  <c r="K29" i="3"/>
  <c r="K30" i="3" s="1"/>
  <c r="L29" i="3"/>
  <c r="L30" i="3" s="1"/>
  <c r="M29" i="3"/>
  <c r="M30" i="3" s="1"/>
  <c r="M31" i="3" s="1"/>
  <c r="D29" i="3"/>
  <c r="D30" i="3" s="1"/>
  <c r="B29" i="3"/>
  <c r="B30" i="3" s="1"/>
  <c r="F6" i="3"/>
  <c r="C26" i="3" l="1"/>
  <c r="C34" i="3"/>
  <c r="C32" i="3"/>
  <c r="G30" i="3"/>
  <c r="G31" i="3" s="1"/>
  <c r="I31" i="3"/>
  <c r="H31" i="3"/>
  <c r="F30" i="3"/>
  <c r="F31" i="3" s="1"/>
  <c r="L31" i="3"/>
  <c r="K31" i="3"/>
  <c r="J31" i="3"/>
  <c r="M21" i="3"/>
  <c r="G23" i="3"/>
  <c r="G22" i="3"/>
  <c r="H23" i="3"/>
  <c r="H22" i="3"/>
  <c r="D22" i="3"/>
  <c r="D24" i="3" s="1"/>
  <c r="D31" i="3"/>
  <c r="B31" i="3"/>
  <c r="F21" i="3"/>
  <c r="J22" i="3"/>
  <c r="I22" i="3"/>
  <c r="L21" i="3"/>
  <c r="L23" i="3" s="1"/>
  <c r="K21" i="3"/>
  <c r="K23" i="3" s="1"/>
  <c r="J23" i="3"/>
  <c r="B22" i="3"/>
  <c r="B23" i="3"/>
  <c r="C33" i="3" l="1"/>
  <c r="C35" i="3"/>
  <c r="T36" i="3"/>
  <c r="R36" i="3"/>
  <c r="S36" i="3"/>
  <c r="G24" i="3"/>
  <c r="G25" i="3" s="1"/>
  <c r="G32" i="3" s="1"/>
  <c r="K22" i="3"/>
  <c r="K24" i="3" s="1"/>
  <c r="M23" i="3"/>
  <c r="M22" i="3"/>
  <c r="F22" i="3"/>
  <c r="J24" i="3"/>
  <c r="J25" i="3" s="1"/>
  <c r="J26" i="3" s="1"/>
  <c r="F23" i="3"/>
  <c r="H24" i="3"/>
  <c r="H25" i="3" s="1"/>
  <c r="D25" i="3"/>
  <c r="D34" i="3" s="1"/>
  <c r="L22" i="3"/>
  <c r="L24" i="3" s="1"/>
  <c r="I24" i="3"/>
  <c r="I25" i="3" s="1"/>
  <c r="I26" i="3" s="1"/>
  <c r="B24" i="3"/>
  <c r="B25" i="3" s="1"/>
  <c r="W36" i="3" l="1"/>
  <c r="U36" i="3"/>
  <c r="V36" i="3"/>
  <c r="F24" i="3"/>
  <c r="F25" i="3" s="1"/>
  <c r="G34" i="3"/>
  <c r="G26" i="3"/>
  <c r="D26" i="3"/>
  <c r="H26" i="3"/>
  <c r="B26" i="3"/>
  <c r="D32" i="3"/>
  <c r="D33" i="3" s="1"/>
  <c r="L25" i="3"/>
  <c r="H32" i="3"/>
  <c r="H33" i="3" s="1"/>
  <c r="H34" i="3"/>
  <c r="M24" i="3"/>
  <c r="I34" i="3"/>
  <c r="I32" i="3"/>
  <c r="B32" i="3"/>
  <c r="B34" i="3"/>
  <c r="J34" i="3"/>
  <c r="J32" i="3"/>
  <c r="G33" i="3"/>
  <c r="M25" i="3" l="1"/>
  <c r="M26" i="3" s="1"/>
  <c r="G35" i="3"/>
  <c r="K36" i="3" s="1"/>
  <c r="F32" i="3"/>
  <c r="F33" i="3" s="1"/>
  <c r="F34" i="3"/>
  <c r="H35" i="3"/>
  <c r="L36" i="3" s="1"/>
  <c r="D35" i="3"/>
  <c r="K26" i="3"/>
  <c r="L26" i="3"/>
  <c r="F26" i="3"/>
  <c r="L32" i="3"/>
  <c r="L33" i="3" s="1"/>
  <c r="L34" i="3"/>
  <c r="K32" i="3"/>
  <c r="K33" i="3" s="1"/>
  <c r="K34" i="3"/>
  <c r="B33" i="3"/>
  <c r="J33" i="3"/>
  <c r="J35" i="3" s="1"/>
  <c r="I33" i="3"/>
  <c r="I35" i="3" s="1"/>
  <c r="M32" i="3" l="1"/>
  <c r="M33" i="3" s="1"/>
  <c r="M34" i="3"/>
  <c r="F35" i="3"/>
  <c r="J36" i="3" s="1"/>
  <c r="H36" i="3"/>
  <c r="Y36" i="3"/>
  <c r="D36" i="3"/>
  <c r="B36" i="3"/>
  <c r="E36" i="3"/>
  <c r="G36" i="3"/>
  <c r="M36" i="3"/>
  <c r="N36" i="3"/>
  <c r="B35" i="3"/>
  <c r="L35" i="3"/>
  <c r="P36" i="3" s="1"/>
  <c r="K35" i="3"/>
  <c r="X36" i="3"/>
  <c r="M35" i="3" l="1"/>
  <c r="Q36" i="3" s="1"/>
  <c r="I36" i="3"/>
  <c r="O36" i="3"/>
  <c r="F36" i="3"/>
  <c r="C36" i="3"/>
  <c r="C5" i="31" l="1"/>
  <c r="B5" i="31"/>
  <c r="D5" i="31" l="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D87" i="31" s="1"/>
  <c r="C88" i="31"/>
  <c r="C6" i="31"/>
  <c r="B79" i="31"/>
  <c r="B80" i="31"/>
  <c r="B81" i="31"/>
  <c r="B82" i="31"/>
  <c r="B83" i="31"/>
  <c r="B84" i="31"/>
  <c r="B85" i="31"/>
  <c r="B86" i="31"/>
  <c r="B87" i="31"/>
  <c r="B88" i="31"/>
  <c r="B49" i="31"/>
  <c r="B50" i="31"/>
  <c r="B51" i="31"/>
  <c r="B52" i="31"/>
  <c r="B53" i="31"/>
  <c r="B54" i="31"/>
  <c r="B55" i="31"/>
  <c r="B56" i="31"/>
  <c r="B57" i="31"/>
  <c r="B58" i="31"/>
  <c r="D58" i="31" s="1"/>
  <c r="B59" i="31"/>
  <c r="B60" i="31"/>
  <c r="B61" i="31"/>
  <c r="B62" i="31"/>
  <c r="B63" i="31"/>
  <c r="B64" i="31"/>
  <c r="B65" i="31"/>
  <c r="B66" i="31"/>
  <c r="B67" i="31"/>
  <c r="B68" i="31"/>
  <c r="B69" i="31"/>
  <c r="B70" i="31"/>
  <c r="D70" i="31" s="1"/>
  <c r="B71" i="31"/>
  <c r="B72" i="31"/>
  <c r="B73" i="31"/>
  <c r="B74" i="31"/>
  <c r="B75" i="31"/>
  <c r="B76" i="31"/>
  <c r="B77" i="31"/>
  <c r="B78" i="31"/>
  <c r="B7" i="31"/>
  <c r="B8" i="31"/>
  <c r="B9" i="31"/>
  <c r="B10" i="31"/>
  <c r="D10" i="31" s="1"/>
  <c r="B11" i="31"/>
  <c r="B12" i="31"/>
  <c r="B13" i="31"/>
  <c r="B14" i="31"/>
  <c r="B15" i="31"/>
  <c r="B16" i="31"/>
  <c r="B17" i="31"/>
  <c r="B18" i="31"/>
  <c r="B19" i="31"/>
  <c r="B20" i="31"/>
  <c r="B21" i="31"/>
  <c r="B22" i="31"/>
  <c r="D22" i="31" s="1"/>
  <c r="B23" i="31"/>
  <c r="B24" i="31"/>
  <c r="B25" i="31"/>
  <c r="B26" i="31"/>
  <c r="B27" i="31"/>
  <c r="B28" i="31"/>
  <c r="B29" i="31"/>
  <c r="B30" i="31"/>
  <c r="B31" i="31"/>
  <c r="B32" i="31"/>
  <c r="B33" i="31"/>
  <c r="B34" i="31"/>
  <c r="D34" i="31" s="1"/>
  <c r="B35" i="31"/>
  <c r="B36" i="31"/>
  <c r="B37" i="31"/>
  <c r="B38" i="31"/>
  <c r="B39" i="31"/>
  <c r="B40" i="31"/>
  <c r="B41" i="31"/>
  <c r="B42" i="31"/>
  <c r="B43" i="31"/>
  <c r="B44" i="31"/>
  <c r="B45" i="31"/>
  <c r="B46" i="31"/>
  <c r="D46" i="31" s="1"/>
  <c r="B47" i="31"/>
  <c r="B48" i="31"/>
  <c r="B6" i="31"/>
  <c r="D81" i="31" l="1"/>
  <c r="D86" i="31"/>
  <c r="D88" i="31"/>
  <c r="D29" i="31"/>
  <c r="D65" i="31"/>
  <c r="D78" i="31"/>
  <c r="D66" i="31"/>
  <c r="D54" i="31"/>
  <c r="D30" i="31"/>
  <c r="D77" i="31"/>
  <c r="D53" i="31"/>
  <c r="D17" i="31"/>
  <c r="D42" i="31"/>
  <c r="D41" i="31"/>
  <c r="D83" i="31"/>
  <c r="D85" i="31"/>
  <c r="D84" i="31"/>
  <c r="D82" i="31"/>
  <c r="D13" i="31"/>
  <c r="D40" i="31"/>
  <c r="D28" i="31"/>
  <c r="D76" i="31"/>
  <c r="D64" i="31"/>
  <c r="D52" i="31"/>
  <c r="D27" i="31"/>
  <c r="D75" i="31"/>
  <c r="D63" i="31"/>
  <c r="D51" i="31"/>
  <c r="D39" i="31"/>
  <c r="D15" i="31"/>
  <c r="D38" i="31"/>
  <c r="D26" i="31"/>
  <c r="D14" i="31"/>
  <c r="D74" i="31"/>
  <c r="D62" i="31"/>
  <c r="D50" i="31"/>
  <c r="D37" i="31"/>
  <c r="D25" i="31"/>
  <c r="D73" i="31"/>
  <c r="D61" i="31"/>
  <c r="D49" i="31"/>
  <c r="D48" i="31"/>
  <c r="D36" i="31"/>
  <c r="D47" i="31"/>
  <c r="D35" i="31"/>
  <c r="D23" i="31"/>
  <c r="D11" i="31"/>
  <c r="D71" i="31"/>
  <c r="D59" i="31"/>
  <c r="D24" i="31"/>
  <c r="D12" i="31"/>
  <c r="D72" i="31"/>
  <c r="D60" i="31"/>
  <c r="D33" i="31"/>
  <c r="D21" i="31"/>
  <c r="D45" i="31"/>
  <c r="D9" i="31"/>
  <c r="D79" i="31"/>
  <c r="D16" i="31"/>
  <c r="D80" i="31"/>
  <c r="D69" i="31"/>
  <c r="D57" i="31"/>
  <c r="D20" i="31"/>
  <c r="D56" i="31"/>
  <c r="D6" i="31"/>
  <c r="D32" i="31"/>
  <c r="D8" i="31"/>
  <c r="D68" i="31"/>
  <c r="D43" i="31"/>
  <c r="D31" i="31"/>
  <c r="D19" i="31"/>
  <c r="D7" i="31"/>
  <c r="D67" i="31"/>
  <c r="D55" i="31"/>
  <c r="D44" i="31"/>
  <c r="D18" i="31"/>
</calcChain>
</file>

<file path=xl/sharedStrings.xml><?xml version="1.0" encoding="utf-8"?>
<sst xmlns="http://schemas.openxmlformats.org/spreadsheetml/2006/main" count="392" uniqueCount="197">
  <si>
    <t>Fixed OPEX breakdown</t>
  </si>
  <si>
    <t>Labour</t>
  </si>
  <si>
    <t>Shift Positions</t>
  </si>
  <si>
    <t>Supervisions</t>
  </si>
  <si>
    <t>Direct Overhead</t>
  </si>
  <si>
    <t>25% of Shift positions</t>
  </si>
  <si>
    <t>45% of Shift positions and Supervisions</t>
  </si>
  <si>
    <t>Maintenance</t>
  </si>
  <si>
    <t>3% of Total Fixed Capital Cost</t>
  </si>
  <si>
    <t>Overhead Expense</t>
  </si>
  <si>
    <t>Plant Overhead</t>
  </si>
  <si>
    <t>Tax and Insurance</t>
  </si>
  <si>
    <t>65% Labour and Maintenance</t>
  </si>
  <si>
    <t>1.5% of Total Fixed Capital Cost</t>
  </si>
  <si>
    <t>Plant →</t>
  </si>
  <si>
    <t>Resources ↓</t>
  </si>
  <si>
    <t>Ethylene oxide (EO)</t>
  </si>
  <si>
    <t>Ethylene (C2E)</t>
  </si>
  <si>
    <t>Ethylbenzene (EB)</t>
  </si>
  <si>
    <t>Benzene (BZ)</t>
  </si>
  <si>
    <t>Ethylene glycol (MEG)</t>
  </si>
  <si>
    <t>Methanol (MeOH)</t>
  </si>
  <si>
    <t>Methyl tert-butyl ether (MTBE)</t>
  </si>
  <si>
    <t>Tert butyl alcohol (t-BuOH/TBA)</t>
  </si>
  <si>
    <t>Isobutane (i-C4A)</t>
  </si>
  <si>
    <t>Naphtha (Naphtha)</t>
  </si>
  <si>
    <t>Propylene (C3E)</t>
  </si>
  <si>
    <t>Acetylene (Acet)</t>
  </si>
  <si>
    <t>Butane (n-C4A)</t>
  </si>
  <si>
    <t>Propylene oxide (PO)</t>
  </si>
  <si>
    <t>Propylene glycol (PG)</t>
  </si>
  <si>
    <t>Styrene</t>
  </si>
  <si>
    <t>O-xylene (o-xylene/HCHO)</t>
  </si>
  <si>
    <t>P-xylene</t>
  </si>
  <si>
    <t>Diesel</t>
  </si>
  <si>
    <t>Isobutylene (i-C4E)</t>
  </si>
  <si>
    <t>Butadiene (XXX)</t>
  </si>
  <si>
    <t>Reference →</t>
  </si>
  <si>
    <t>https://businessanalytiq.com/procurementanalytics/index/propylene-oxide-price-index/</t>
  </si>
  <si>
    <t>https://businessanalytiq.com/procurementanalytics/index/butanol-price-index/</t>
  </si>
  <si>
    <t>https://businessanalytiq.com/procurementanalytics/index/isobutanol-price-index/</t>
  </si>
  <si>
    <t>https://businessanalytiq.com/procurementanalytics/index/butadiene-price-index/</t>
  </si>
  <si>
    <t>https://businessanalytiq.com/procurementanalytics/index/acetylene-prices/</t>
  </si>
  <si>
    <t>https://businessanalytiq.com/procurementanalytics/index/lpg-price-index/</t>
  </si>
  <si>
    <t>https://businessanalytiq.com/procurementanalytics/index/propylene-glycol-price-index/</t>
  </si>
  <si>
    <t>https://businessanalytiq.com/procurementanalytics/index/styrene-price-index/</t>
  </si>
  <si>
    <t>https://businessanalytiq.com/procurementanalytics/index/ortho-xylene-price-index/</t>
  </si>
  <si>
    <t>https://businessanalytiq.com/procurementanalytics/index/mtbe-price-index/</t>
  </si>
  <si>
    <t>https://businessanalytiq.com/procurementanalytics/index/iir-price-index/</t>
  </si>
  <si>
    <t>https://businessanalytiq.com/procurementanalytics/index/ethylene-price-index/</t>
  </si>
  <si>
    <t>https://businessanalytiq.com/procurementanalytics/index/ethylene-oxide-price-index/</t>
  </si>
  <si>
    <t>https://businessanalytiq.com/procurementanalytics/index/ethylene-glycol-price-index/</t>
  </si>
  <si>
    <t>https://businessanalytiq.com/procurementanalytics/index/methanol-price-index/</t>
  </si>
  <si>
    <t>https://businessanalytiq.com/procurementanalytics/index/diesel-price-index/</t>
  </si>
  <si>
    <t>https://businessanalytiq.com/procurementanalytics/index/fuel-oil-price-index/</t>
  </si>
  <si>
    <t>Date</t>
  </si>
  <si>
    <t>Vacuum gas Oil (VGO)</t>
  </si>
  <si>
    <t>Monthly global for VLSFO</t>
  </si>
  <si>
    <t>LPS</t>
  </si>
  <si>
    <t>MPS</t>
  </si>
  <si>
    <t>HPS</t>
  </si>
  <si>
    <t>Electricity</t>
  </si>
  <si>
    <t>LLPS</t>
  </si>
  <si>
    <t>Btu/lb</t>
  </si>
  <si>
    <t>kJ/kg</t>
  </si>
  <si>
    <t>P</t>
  </si>
  <si>
    <t>Temp</t>
  </si>
  <si>
    <t>Unit conversion</t>
  </si>
  <si>
    <t>Natural Gas (Statista)</t>
  </si>
  <si>
    <t>Statista (NL)</t>
  </si>
  <si>
    <t>Polypropylene (PP)</t>
  </si>
  <si>
    <t>https://businessanalytiq.com/procurementanalytics/index/polypropylene-price-index/</t>
  </si>
  <si>
    <t>CO2</t>
  </si>
  <si>
    <t>Biomass</t>
  </si>
  <si>
    <t>O2</t>
  </si>
  <si>
    <t>C2E</t>
  </si>
  <si>
    <t>NAPHTHA</t>
  </si>
  <si>
    <t>H2</t>
  </si>
  <si>
    <t>Reference component →</t>
  </si>
  <si>
    <t>n-C4A</t>
  </si>
  <si>
    <t>PO</t>
  </si>
  <si>
    <t>EB</t>
  </si>
  <si>
    <t>Cumene</t>
  </si>
  <si>
    <t>https://businessanalytiq.com/procurementanalytics/index/cumene-price-index/</t>
  </si>
  <si>
    <t>MeOH</t>
  </si>
  <si>
    <t>https://businessanalytiq.com/procurementanalytics/index/oxygen-price-index/</t>
  </si>
  <si>
    <t>MTBE</t>
  </si>
  <si>
    <t>Capacity based on main product [kt/y]→</t>
  </si>
  <si>
    <t>i-C4E</t>
  </si>
  <si>
    <t>PGME</t>
  </si>
  <si>
    <t>BZ</t>
  </si>
  <si>
    <t>MEOH</t>
  </si>
  <si>
    <t>ISBL</t>
  </si>
  <si>
    <t>Engineering Cost</t>
  </si>
  <si>
    <t>OSBL</t>
  </si>
  <si>
    <t xml:space="preserve">Contingency </t>
  </si>
  <si>
    <t>Working Capital</t>
  </si>
  <si>
    <t>Factoring multiplier for ISBL</t>
  </si>
  <si>
    <t>ISBL cost</t>
  </si>
  <si>
    <t>3.3*Bare equipment cost</t>
  </si>
  <si>
    <t>OSBL cost</t>
  </si>
  <si>
    <t xml:space="preserve">40%*ISBL </t>
  </si>
  <si>
    <t>Engineering costs (EN)</t>
  </si>
  <si>
    <t xml:space="preserve">10%* (ISBL+OSBL) </t>
  </si>
  <si>
    <t>Contingency (CN)</t>
  </si>
  <si>
    <t>Working capital</t>
  </si>
  <si>
    <t>5%*(ISBL+OSBL+ EN+ CN)</t>
  </si>
  <si>
    <t>CAPEX breakdown</t>
  </si>
  <si>
    <t>Life time factor [y]</t>
  </si>
  <si>
    <t>interest rate [%]</t>
  </si>
  <si>
    <t>Annual Capital Charge Ratio (ACCR)</t>
  </si>
  <si>
    <t>Assumptions</t>
  </si>
  <si>
    <t>Operators per shift position</t>
  </si>
  <si>
    <t>Number of shift positions</t>
  </si>
  <si>
    <t>Fixed opex [€/t] →</t>
  </si>
  <si>
    <t>Average salary per shift [€/y]*</t>
  </si>
  <si>
    <t>*https://www.erieri.com/salary/job/refinery-operator/netherlands</t>
  </si>
  <si>
    <t>Based on BZ and C2E</t>
  </si>
  <si>
    <t>Date ↓</t>
  </si>
  <si>
    <t>CthreeE</t>
  </si>
  <si>
    <t>C3E</t>
  </si>
  <si>
    <t>Naphtha</t>
  </si>
  <si>
    <t>VGO</t>
  </si>
  <si>
    <t>Price allocation</t>
  </si>
  <si>
    <t>Ratio of price allocation</t>
  </si>
  <si>
    <t>Divided expenses among Res.</t>
  </si>
  <si>
    <t>Price for zero price balance</t>
  </si>
  <si>
    <t>Added value wrt market price</t>
  </si>
  <si>
    <t>Added value wrt base profit</t>
  </si>
  <si>
    <t xml:space="preserve">https://businessanalytiq.com/procurementanalytics/index/benzene-price-index/ </t>
  </si>
  <si>
    <t xml:space="preserve">https://businessanalytiq.com/procurementanalytics/index/naphtha-price-index/ </t>
  </si>
  <si>
    <t>https://businessanalytiq.com/procurementanalytics/index/propylene-price-index/</t>
  </si>
  <si>
    <t>https://businessanalytiq.com/procurementanalytics/index/para-xylene-price-index/</t>
  </si>
  <si>
    <t xml:space="preserve">https://businessanalytiq.com/procurementanalytics/index/electricity-price-index-europe/ </t>
  </si>
  <si>
    <t>According to the historical prices of ethylene and benzene and their mixure porpotions for ethylbenzne</t>
  </si>
  <si>
    <t>Considered fixed, as no price variation is available for a developed technology: https://www.cell.com/joule/pdfExtended/S2542-4351(24)00060-6</t>
  </si>
  <si>
    <t>Biomass pellet: https://app.23degrees.eu/view/uJukoepbn2tUAOuE-line-en-pelletprice-in-cent-kg</t>
  </si>
  <si>
    <t>https://businessanalytiq.com/procurementanalytics/index/grey-hydrogen-price-index/</t>
  </si>
  <si>
    <t>Reference Source</t>
  </si>
  <si>
    <t>Steams</t>
  </si>
  <si>
    <r>
      <rPr>
        <b/>
        <i/>
        <sz val="11"/>
        <color theme="1"/>
        <rFont val="Cambria"/>
        <family val="1"/>
      </rPr>
      <t>Reference for natural gas price:</t>
    </r>
    <r>
      <rPr>
        <sz val="11"/>
        <color theme="1"/>
        <rFont val="Cambria"/>
        <family val="1"/>
      </rPr>
      <t xml:space="preserve"> https://www.statista.com/statistics/673333/monthly-prices-for-natural-gas-in-the-united-states-and-europe/</t>
    </r>
  </si>
  <si>
    <r>
      <t xml:space="preserve">Steams specifications </t>
    </r>
    <r>
      <rPr>
        <b/>
        <sz val="11"/>
        <color theme="1"/>
        <rFont val="Aptos Narrow"/>
        <family val="2"/>
      </rPr>
      <t>↓</t>
    </r>
  </si>
  <si>
    <r>
      <t xml:space="preserve">CAPEX breakdown </t>
    </r>
    <r>
      <rPr>
        <b/>
        <sz val="11"/>
        <color theme="1"/>
        <rFont val="Cambria"/>
        <family val="1"/>
      </rPr>
      <t>↓</t>
    </r>
  </si>
  <si>
    <t>Data for capacities and equipment costs are given from: https://link.springer.com/article/10.1007/s43615-024-00410-5</t>
  </si>
  <si>
    <t>CAPEX and OPEX breakdowns are assummed based on: https://doi.org/10.1016/j.jclepro.2025.145114</t>
  </si>
  <si>
    <t>Sources ↓</t>
  </si>
  <si>
    <t>Methanol-to-olefins</t>
  </si>
  <si>
    <t>Olefins (as a basis)</t>
  </si>
  <si>
    <t>Methanol-to-aromatics</t>
  </si>
  <si>
    <t xml:space="preserve">CO2 Hydrogeneration </t>
  </si>
  <si>
    <t>Electrochemical Reduction of CO2 to Ethylene</t>
  </si>
  <si>
    <t>MTBE Production (as a basis)</t>
  </si>
  <si>
    <t xml:space="preserve">LDPE </t>
  </si>
  <si>
    <r>
      <t xml:space="preserve">For the detailed calculation procedures, refer to </t>
    </r>
    <r>
      <rPr>
        <b/>
        <i/>
        <sz val="12"/>
        <color rgb="FFFF0000"/>
        <rFont val="Calibri"/>
        <family val="2"/>
        <scheme val="minor"/>
      </rPr>
      <t>Appendix B</t>
    </r>
    <r>
      <rPr>
        <b/>
        <sz val="12"/>
        <color theme="1"/>
        <rFont val="Calibri"/>
        <family val="2"/>
        <scheme val="minor"/>
      </rPr>
      <t>, which outlines the corresponding steps and mathematical formulas used.</t>
    </r>
  </si>
  <si>
    <t>Ethylbenzene</t>
  </si>
  <si>
    <t>MTBE production</t>
  </si>
  <si>
    <t>Olefins</t>
  </si>
  <si>
    <t>Propylene oxide</t>
  </si>
  <si>
    <t>Propylene glycol</t>
  </si>
  <si>
    <t xml:space="preserve">Propylene oxide/Styrene monomer </t>
  </si>
  <si>
    <t xml:space="preserve">Methanol to olefins </t>
  </si>
  <si>
    <t xml:space="preserve">Methanol to aromatics </t>
  </si>
  <si>
    <t xml:space="preserve">Biomass to isobutylene via organosolv </t>
  </si>
  <si>
    <t xml:space="preserve">CO2 hydrogeneration </t>
  </si>
  <si>
    <t xml:space="preserve">Electrochemical reduction of CO2 to ethylene </t>
  </si>
  <si>
    <t>Calculations done based on https://www.energy.1051gov/sites/prod/files/2014/05/f15/tech\_brief\_true\_cost.pdf.</t>
  </si>
  <si>
    <t>Statista</t>
  </si>
  <si>
    <t>It is based on histroical pricing data.</t>
  </si>
  <si>
    <t>price/kg</t>
  </si>
  <si>
    <t>https://businessanalytiq.com/procurementanalytics/index/hdpe-price-index/</t>
  </si>
  <si>
    <t>Polyethylene (PE)</t>
  </si>
  <si>
    <t>As no specific price variation for PP and PE wastes is available, two ratios are assummed as a basis for calucating their waste prices.</t>
  </si>
  <si>
    <t>PP waste = 0.75 PP</t>
  </si>
  <si>
    <t>PE waste = 0.4 PE</t>
  </si>
  <si>
    <t>Remarks:</t>
  </si>
  <si>
    <t>https://ec.europa.eu/eurostat/statistics-explained/index.php?title=Recycling_%E2%80%93_secondary_material_price_indicator</t>
  </si>
  <si>
    <t>Plastic Waste Pyrolysis</t>
  </si>
  <si>
    <t>Biomass to isobutylene via organosolv</t>
  </si>
  <si>
    <t>Remark: Data for year 2021 was not implemented due to covid-related disruptions.</t>
  </si>
  <si>
    <t>↓ In this case, negative ratio is considered as one to avoid negative effects.</t>
  </si>
  <si>
    <t xml:space="preserve">In Tan et. al., LDPE is cosidered as a main PE for modeling. </t>
  </si>
  <si>
    <t xml:space="preserve">Plastic waste pyrolysis </t>
  </si>
  <si>
    <t>Equipment Cost →</t>
  </si>
  <si>
    <t>capex  →</t>
  </si>
  <si>
    <t xml:space="preserve">Shift positions </t>
  </si>
  <si>
    <t xml:space="preserve">Direct overhead </t>
  </si>
  <si>
    <t xml:space="preserve">Maintenance </t>
  </si>
  <si>
    <t xml:space="preserve">Plant overhead </t>
  </si>
  <si>
    <t xml:space="preserve">Tax and insurance </t>
  </si>
  <si>
    <t>Fixed opex  →</t>
  </si>
  <si>
    <t>Annual Depreciation (straight-line)  →</t>
  </si>
  <si>
    <t>per MWh</t>
  </si>
  <si>
    <t>Price(per MMBtu)</t>
  </si>
  <si>
    <t>Price(per GJ)</t>
  </si>
  <si>
    <t>per kg</t>
  </si>
  <si>
    <t>It should be noted that currency exchange does not have any effects of variance, and other ralative parameters.</t>
  </si>
  <si>
    <t>For calculation simplicity, all data is assumed in euro.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</si>
</sst>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\ ;\(&quot;$&quot;#,##0\)"/>
    <numFmt numFmtId="167" formatCode="#,##0."/>
    <numFmt numFmtId="168" formatCode="#."/>
    <numFmt numFmtId="169" formatCode="#,###;\(#,###\);\-\-\-\-"/>
    <numFmt numFmtId="170" formatCode="0.0%"/>
    <numFmt numFmtId="171" formatCode="0.00000"/>
  </numFmts>
  <fonts count="75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i/>
      <sz val="11"/>
      <color theme="1"/>
      <name val="Cambria"/>
      <family val="1"/>
    </font>
    <font>
      <b/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mbria"/>
      <family val="1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mbria"/>
      <family val="1"/>
    </font>
    <font>
      <sz val="10"/>
      <name val="Arial"/>
      <family val="2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Arial"/>
      <family val="2"/>
    </font>
    <font>
      <b/>
      <sz val="8"/>
      <color indexed="39"/>
      <name val="Arial"/>
      <family val="2"/>
    </font>
    <font>
      <sz val="10"/>
      <color indexed="56"/>
      <name val="Times New Roman"/>
      <family val="1"/>
    </font>
    <font>
      <sz val="12"/>
      <color indexed="56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11"/>
      <color indexed="56"/>
      <name val="Times New Roman"/>
      <family val="1"/>
    </font>
    <font>
      <b/>
      <sz val="10"/>
      <color indexed="8"/>
      <name val="Arial"/>
      <family val="2"/>
    </font>
    <font>
      <b/>
      <sz val="10"/>
      <color indexed="56"/>
      <name val="Times New Roman"/>
      <family val="1"/>
    </font>
    <font>
      <sz val="12"/>
      <color indexed="62"/>
      <name val="Times New Roman"/>
      <family val="1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8"/>
      <color indexed="3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8"/>
      <color theme="3"/>
      <name val="Calibri Light"/>
      <family val="2"/>
      <scheme val="major"/>
    </font>
    <font>
      <sz val="8"/>
      <color indexed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1"/>
      <color theme="1"/>
      <name val="Cambria"/>
      <family val="1"/>
    </font>
    <font>
      <b/>
      <i/>
      <sz val="12"/>
      <color rgb="FFFF0000"/>
      <name val="Cambria"/>
      <family val="1"/>
    </font>
    <font>
      <sz val="8"/>
      <color theme="1"/>
      <name val="Cambria"/>
      <family val="1"/>
    </font>
    <font>
      <sz val="9"/>
      <color theme="1"/>
      <name val="Cambria"/>
      <family val="1"/>
    </font>
    <font>
      <sz val="11"/>
      <name val="Cambria"/>
      <family val="1"/>
    </font>
    <font>
      <i/>
      <sz val="11"/>
      <color theme="3"/>
      <name val="Cambria"/>
      <family val="1"/>
    </font>
    <font>
      <b/>
      <sz val="11"/>
      <color rgb="FF000000"/>
      <name val="Cambria"/>
      <family val="1"/>
    </font>
    <font>
      <b/>
      <sz val="11"/>
      <color theme="3"/>
      <name val="Cambria"/>
      <family val="1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ck">
        <color theme="2" tint="-0.499984740745262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76">
    <xf numFmtId="0" fontId="0" fillId="0" borderId="0"/>
    <xf numFmtId="0" fontId="5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3" fillId="0" borderId="0"/>
    <xf numFmtId="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7" fontId="24" fillId="0" borderId="0">
      <protection locked="0"/>
    </xf>
    <xf numFmtId="167" fontId="25" fillId="0" borderId="0">
      <protection locked="0"/>
    </xf>
    <xf numFmtId="167" fontId="26" fillId="0" borderId="0">
      <protection locked="0"/>
    </xf>
    <xf numFmtId="167" fontId="26" fillId="0" borderId="0">
      <protection locked="0"/>
    </xf>
    <xf numFmtId="167" fontId="25" fillId="0" borderId="0">
      <protection locked="0"/>
    </xf>
    <xf numFmtId="167" fontId="27" fillId="0" borderId="0">
      <protection locked="0"/>
    </xf>
    <xf numFmtId="167" fontId="25" fillId="0" borderId="0">
      <protection locked="0"/>
    </xf>
    <xf numFmtId="2" fontId="2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8" fontId="26" fillId="0" borderId="0">
      <protection locked="0"/>
    </xf>
    <xf numFmtId="168" fontId="26" fillId="0" borderId="0">
      <protection locked="0"/>
    </xf>
    <xf numFmtId="9" fontId="23" fillId="0" borderId="0" applyFont="0" applyFill="0" applyBorder="0" applyAlignment="0" applyProtection="0"/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0" fontId="55" fillId="0" borderId="0" applyNumberFormat="0" applyFill="0" applyBorder="0" applyAlignment="0" applyProtection="0"/>
    <xf numFmtId="0" fontId="56" fillId="0" borderId="0" applyNumberFormat="0" applyFill="0" applyBorder="0" applyProtection="0">
      <alignment horizontal="center"/>
    </xf>
    <xf numFmtId="0" fontId="55" fillId="0" borderId="0" applyNumberFormat="0" applyFill="0" applyBorder="0" applyProtection="0">
      <alignment horizontal="center"/>
    </xf>
    <xf numFmtId="0" fontId="5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Protection="0">
      <alignment horizontal="left" vertical="center"/>
    </xf>
    <xf numFmtId="169" fontId="33" fillId="34" borderId="0" applyProtection="0">
      <alignment horizontal="right" vertical="center"/>
    </xf>
    <xf numFmtId="0" fontId="34" fillId="34" borderId="0" applyNumberFormat="0" applyProtection="0">
      <alignment horizontal="left" vertical="center"/>
    </xf>
    <xf numFmtId="0" fontId="35" fillId="34" borderId="0" applyNumberFormat="0" applyProtection="0">
      <alignment horizontal="center" vertical="center"/>
    </xf>
    <xf numFmtId="4" fontId="36" fillId="34" borderId="0" applyProtection="0">
      <alignment horizontal="center" vertical="center"/>
    </xf>
    <xf numFmtId="0" fontId="37" fillId="35" borderId="0" applyNumberFormat="0" applyProtection="0">
      <alignment horizontal="center" vertical="center"/>
    </xf>
    <xf numFmtId="4" fontId="38" fillId="35" borderId="0" applyProtection="0">
      <alignment horizontal="center" vertical="center"/>
    </xf>
    <xf numFmtId="0" fontId="30" fillId="34" borderId="0" applyNumberFormat="0" applyProtection="0">
      <alignment horizontal="center" vertical="center"/>
    </xf>
    <xf numFmtId="4" fontId="39" fillId="34" borderId="0" applyProtection="0">
      <alignment horizontal="center" vertical="center"/>
    </xf>
    <xf numFmtId="0" fontId="40" fillId="36" borderId="0" applyNumberFormat="0" applyProtection="0">
      <alignment horizontal="center" vertical="center"/>
    </xf>
    <xf numFmtId="4" fontId="41" fillId="36" borderId="0" applyProtection="0">
      <alignment horizontal="center" vertical="center"/>
    </xf>
    <xf numFmtId="0" fontId="42" fillId="34" borderId="0" applyNumberFormat="0" applyProtection="0">
      <alignment horizontal="left" vertical="center"/>
    </xf>
    <xf numFmtId="0" fontId="43" fillId="34" borderId="0" applyNumberFormat="0" applyProtection="0">
      <alignment horizontal="center" vertical="center" wrapText="1"/>
    </xf>
    <xf numFmtId="0" fontId="44" fillId="34" borderId="0" applyNumberFormat="0" applyProtection="0">
      <alignment horizontal="left" vertical="center"/>
    </xf>
    <xf numFmtId="169" fontId="33" fillId="34" borderId="12" applyProtection="0">
      <alignment horizontal="right" vertical="center"/>
    </xf>
    <xf numFmtId="0" fontId="45" fillId="34" borderId="0" applyNumberFormat="0" applyProtection="0">
      <alignment horizontal="left" vertical="center"/>
    </xf>
    <xf numFmtId="0" fontId="46" fillId="35" borderId="0" applyNumberFormat="0" applyProtection="0">
      <alignment horizontal="center" vertical="center" wrapText="1"/>
    </xf>
    <xf numFmtId="0" fontId="47" fillId="34" borderId="0" applyNumberFormat="0" applyProtection="0">
      <alignment horizontal="center" vertical="center" wrapText="1"/>
    </xf>
    <xf numFmtId="0" fontId="43" fillId="34" borderId="0" applyNumberFormat="0" applyProtection="0">
      <alignment horizontal="center" vertical="center" wrapText="1"/>
    </xf>
    <xf numFmtId="0" fontId="48" fillId="36" borderId="0" applyNumberFormat="0" applyProtection="0">
      <alignment horizontal="center" vertical="center" wrapText="1"/>
    </xf>
    <xf numFmtId="0" fontId="49" fillId="34" borderId="0" applyNumberFormat="0" applyProtection="0">
      <alignment horizontal="center" vertical="center" wrapText="1"/>
    </xf>
    <xf numFmtId="0" fontId="43" fillId="37" borderId="0" applyNumberFormat="0" applyProtection="0">
      <alignment horizontal="center" vertical="center" wrapText="1"/>
    </xf>
    <xf numFmtId="0" fontId="46" fillId="35" borderId="0" applyNumberFormat="0" applyProtection="0">
      <alignment horizontal="center" vertical="center" wrapText="1"/>
    </xf>
    <xf numFmtId="4" fontId="50" fillId="35" borderId="0" applyProtection="0">
      <alignment horizontal="center" vertical="top" wrapText="1"/>
    </xf>
    <xf numFmtId="0" fontId="47" fillId="34" borderId="0" applyNumberFormat="0" applyProtection="0">
      <alignment horizontal="center" vertical="center" wrapText="1"/>
    </xf>
    <xf numFmtId="4" fontId="51" fillId="34" borderId="0" applyProtection="0">
      <alignment horizontal="center" vertical="top" wrapText="1"/>
    </xf>
    <xf numFmtId="0" fontId="48" fillId="36" borderId="0" applyNumberFormat="0" applyProtection="0">
      <alignment horizontal="center" vertical="center" wrapText="1"/>
    </xf>
    <xf numFmtId="4" fontId="52" fillId="36" borderId="0" applyProtection="0">
      <alignment horizontal="center" vertical="top" wrapText="1"/>
    </xf>
    <xf numFmtId="0" fontId="43" fillId="37" borderId="0" applyNumberFormat="0" applyProtection="0">
      <alignment horizontal="center" vertical="center" wrapText="1"/>
    </xf>
    <xf numFmtId="4" fontId="53" fillId="37" borderId="0" applyProtection="0">
      <alignment horizontal="center" vertical="top" wrapText="1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17" fontId="30" fillId="34" borderId="0" applyProtection="0">
      <alignment horizontal="center" vertical="center"/>
    </xf>
    <xf numFmtId="0" fontId="23" fillId="0" borderId="13" applyNumberFormat="0" applyFont="0" applyFill="0" applyAlignment="0" applyProtection="0"/>
    <xf numFmtId="165" fontId="23" fillId="0" borderId="0" applyFont="0" applyFill="0" applyBorder="0" applyAlignment="0" applyProtection="0"/>
    <xf numFmtId="0" fontId="57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Protection="0">
      <alignment horizontal="center"/>
    </xf>
    <xf numFmtId="0" fontId="55" fillId="0" borderId="0" applyNumberFormat="0" applyFill="0" applyBorder="0" applyProtection="0">
      <alignment horizontal="center"/>
    </xf>
    <xf numFmtId="0" fontId="55" fillId="39" borderId="0" applyNumberFormat="0" applyBorder="0" applyAlignment="0" applyProtection="0"/>
    <xf numFmtId="0" fontId="5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8" fillId="38" borderId="0" applyNumberFormat="0" applyBorder="0" applyAlignment="0" applyProtection="0"/>
    <xf numFmtId="0" fontId="59" fillId="0" borderId="0" applyNumberFormat="0" applyFill="0" applyBorder="0" applyAlignment="0" applyProtection="0"/>
    <xf numFmtId="0" fontId="60" fillId="36" borderId="0" applyNumberFormat="0" applyBorder="0" applyAlignment="0" applyProtection="0"/>
    <xf numFmtId="0" fontId="55" fillId="37" borderId="0" applyNumberFormat="0" applyBorder="0" applyAlignment="0" applyProtection="0"/>
    <xf numFmtId="0" fontId="55" fillId="40" borderId="0" applyNumberFormat="0" applyBorder="0" applyAlignment="0" applyProtection="0"/>
    <xf numFmtId="0" fontId="55" fillId="41" borderId="0" applyNumberFormat="0" applyBorder="0" applyAlignment="0" applyProtection="0"/>
    <xf numFmtId="0" fontId="55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39" borderId="0" applyNumberFormat="0" applyBorder="0" applyAlignment="0" applyProtection="0"/>
    <xf numFmtId="0" fontId="55" fillId="44" borderId="0" applyNumberFormat="0" applyBorder="0" applyAlignment="0" applyProtection="0"/>
    <xf numFmtId="170" fontId="2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7" fillId="9" borderId="10" applyNumberFormat="0" applyFont="0" applyAlignment="0" applyProtection="0"/>
    <xf numFmtId="0" fontId="20" fillId="0" borderId="11" applyNumberFormat="0" applyFill="0" applyAlignment="0" applyProtection="0"/>
    <xf numFmtId="170" fontId="23" fillId="0" borderId="0" applyFont="0" applyFill="0" applyBorder="0" applyAlignment="0" applyProtection="0"/>
    <xf numFmtId="0" fontId="7" fillId="9" borderId="10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4" fontId="54" fillId="0" borderId="0" applyFill="0" applyBorder="0" applyAlignment="0" applyProtection="0"/>
    <xf numFmtId="4" fontId="62" fillId="38" borderId="0" applyBorder="0" applyAlignment="0" applyProtection="0"/>
    <xf numFmtId="4" fontId="56" fillId="44" borderId="0" applyBorder="0" applyAlignment="0" applyProtection="0"/>
    <xf numFmtId="0" fontId="63" fillId="0" borderId="14" applyNumberFormat="0" applyFont="0" applyProtection="0">
      <alignment wrapText="1"/>
    </xf>
    <xf numFmtId="0" fontId="23" fillId="0" borderId="0"/>
  </cellStyleXfs>
  <cellXfs count="9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  <xf numFmtId="0" fontId="6" fillId="0" borderId="0" xfId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7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0" xfId="1" applyAlignment="1">
      <alignment vertical="center"/>
    </xf>
    <xf numFmtId="0" fontId="2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2" fontId="22" fillId="0" borderId="0" xfId="0" applyNumberFormat="1" applyFont="1" applyAlignment="1">
      <alignment horizontal="center" vertical="center"/>
    </xf>
    <xf numFmtId="0" fontId="5" fillId="0" borderId="0" xfId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5" fillId="0" borderId="0" xfId="1" applyAlignment="1">
      <alignment wrapText="1"/>
    </xf>
    <xf numFmtId="0" fontId="2" fillId="0" borderId="0" xfId="0" applyFont="1" applyAlignment="1">
      <alignment wrapText="1"/>
    </xf>
    <xf numFmtId="171" fontId="2" fillId="0" borderId="0" xfId="0" applyNumberFormat="1" applyFont="1"/>
    <xf numFmtId="171" fontId="2" fillId="0" borderId="0" xfId="0" applyNumberFormat="1" applyFont="1" applyAlignment="1">
      <alignment horizontal="center" vertical="center"/>
    </xf>
    <xf numFmtId="171" fontId="4" fillId="0" borderId="0" xfId="0" applyNumberFormat="1" applyFont="1"/>
    <xf numFmtId="17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2" fontId="4" fillId="0" borderId="0" xfId="0" applyNumberFormat="1" applyFont="1"/>
    <xf numFmtId="0" fontId="2" fillId="0" borderId="15" xfId="0" applyFont="1" applyBorder="1"/>
    <xf numFmtId="0" fontId="1" fillId="2" borderId="15" xfId="0" applyFont="1" applyFill="1" applyBorder="1" applyAlignment="1">
      <alignment horizontal="left" vertical="center" wrapText="1"/>
    </xf>
    <xf numFmtId="2" fontId="65" fillId="0" borderId="0" xfId="0" applyNumberFormat="1" applyFont="1" applyAlignment="1">
      <alignment horizontal="left" vertical="center"/>
    </xf>
    <xf numFmtId="2" fontId="66" fillId="0" borderId="0" xfId="0" applyNumberFormat="1" applyFont="1" applyAlignment="1">
      <alignment horizontal="center" vertical="center"/>
    </xf>
    <xf numFmtId="0" fontId="66" fillId="0" borderId="0" xfId="0" applyFont="1"/>
    <xf numFmtId="0" fontId="66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67" fillId="0" borderId="0" xfId="0" applyFont="1"/>
    <xf numFmtId="2" fontId="1" fillId="2" borderId="17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" fillId="2" borderId="16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vertical="center"/>
    </xf>
    <xf numFmtId="0" fontId="68" fillId="0" borderId="0" xfId="0" applyFont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2" fontId="70" fillId="0" borderId="22" xfId="0" applyNumberFormat="1" applyFont="1" applyBorder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70" fillId="0" borderId="2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19" xfId="0" applyNumberFormat="1" applyFont="1" applyBorder="1" applyAlignment="1">
      <alignment horizontal="center" vertical="center"/>
    </xf>
    <xf numFmtId="0" fontId="4" fillId="45" borderId="0" xfId="0" applyFont="1" applyFill="1"/>
    <xf numFmtId="2" fontId="2" fillId="45" borderId="0" xfId="0" applyNumberFormat="1" applyFont="1" applyFill="1" applyAlignment="1">
      <alignment horizontal="center" vertical="center"/>
    </xf>
    <xf numFmtId="0" fontId="71" fillId="2" borderId="29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71" fontId="72" fillId="0" borderId="0" xfId="0" applyNumberFormat="1" applyFont="1"/>
    <xf numFmtId="2" fontId="72" fillId="0" borderId="22" xfId="0" applyNumberFormat="1" applyFont="1" applyBorder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2" fontId="72" fillId="0" borderId="31" xfId="0" applyNumberFormat="1" applyFont="1" applyBorder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2" fontId="69" fillId="0" borderId="22" xfId="0" applyNumberFormat="1" applyFont="1" applyBorder="1" applyAlignment="1">
      <alignment horizontal="center" vertical="center"/>
    </xf>
    <xf numFmtId="2" fontId="2" fillId="45" borderId="31" xfId="0" applyNumberFormat="1" applyFont="1" applyFill="1" applyBorder="1" applyAlignment="1">
      <alignment horizontal="center" vertical="center"/>
    </xf>
    <xf numFmtId="0" fontId="73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2" fontId="68" fillId="0" borderId="21" xfId="0" applyNumberFormat="1" applyFont="1" applyBorder="1" applyAlignment="1">
      <alignment horizontal="center" vertical="center"/>
    </xf>
    <xf numFmtId="2" fontId="68" fillId="0" borderId="32" xfId="0" applyNumberFormat="1" applyFont="1" applyBorder="1" applyAlignment="1">
      <alignment horizontal="center" vertical="center"/>
    </xf>
    <xf numFmtId="2" fontId="67" fillId="0" borderId="21" xfId="0" applyNumberFormat="1" applyFont="1" applyBorder="1" applyAlignment="1">
      <alignment horizontal="center" vertical="center"/>
    </xf>
    <xf numFmtId="2" fontId="67" fillId="0" borderId="32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67" fillId="0" borderId="1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</cellXfs>
  <cellStyles count="176">
    <cellStyle name="20% - Accent1" xfId="14" builtinId="30" customBuiltin="1"/>
    <cellStyle name="20% - Accent1 2" xfId="159" xr:uid="{B3EED591-0D48-4D1A-9269-905211D68D10}"/>
    <cellStyle name="20% - Accent2" xfId="17" builtinId="34" customBuiltin="1"/>
    <cellStyle name="20% - Accent2 2" xfId="161" xr:uid="{572ABD58-5E29-442D-853C-EDA956EEF9B5}"/>
    <cellStyle name="20% - Accent3" xfId="20" builtinId="38" customBuiltin="1"/>
    <cellStyle name="20% - Accent3 2" xfId="163" xr:uid="{2D5C3FF8-CCEA-4659-9E9A-9D6EDED3B498}"/>
    <cellStyle name="20% - Accent4" xfId="23" builtinId="42" customBuiltin="1"/>
    <cellStyle name="20% - Accent4 2" xfId="165" xr:uid="{4168386C-4E10-4F73-BFDB-7C62C1D82F36}"/>
    <cellStyle name="20% - Accent5" xfId="26" builtinId="46" customBuiltin="1"/>
    <cellStyle name="20% - Accent5 2" xfId="167" xr:uid="{21D56364-3C5B-4DAC-82B2-A72C26E5ACF8}"/>
    <cellStyle name="20% - Accent6" xfId="29" builtinId="50" customBuiltin="1"/>
    <cellStyle name="20% - Accent6 2" xfId="169" xr:uid="{12526018-3ED7-4C0C-B78E-BA22F0A403B7}"/>
    <cellStyle name="40% - Accent1" xfId="15" builtinId="31" customBuiltin="1"/>
    <cellStyle name="40% - Accent1 2" xfId="160" xr:uid="{38233EEE-4C57-4CB1-88AE-84E00BB99AD9}"/>
    <cellStyle name="40% - Accent2" xfId="18" builtinId="35" customBuiltin="1"/>
    <cellStyle name="40% - Accent2 2" xfId="162" xr:uid="{50814C2A-749C-47AE-B38B-4D6624137F84}"/>
    <cellStyle name="40% - Accent3" xfId="21" builtinId="39" customBuiltin="1"/>
    <cellStyle name="40% - Accent3 2" xfId="164" xr:uid="{FDEF9D3A-0D8A-4007-837A-C9A197E5E0ED}"/>
    <cellStyle name="40% - Accent4" xfId="24" builtinId="43" customBuiltin="1"/>
    <cellStyle name="40% - Accent4 2" xfId="166" xr:uid="{3C50A461-DDD1-4AD9-A199-E0B4708B2916}"/>
    <cellStyle name="40% - Accent5" xfId="27" builtinId="47" customBuiltin="1"/>
    <cellStyle name="40% - Accent5 2" xfId="168" xr:uid="{5672C33F-7057-4690-9F33-839954D47760}"/>
    <cellStyle name="40% - Accent6" xfId="30" builtinId="51" customBuiltin="1"/>
    <cellStyle name="40% - Accent6 2" xfId="170" xr:uid="{69521BCC-D9EF-4FB0-8C16-F7B7DB874FD9}"/>
    <cellStyle name="60% - Accent1 2" xfId="128" xr:uid="{8295841F-1293-4104-8A06-FA82093829C3}"/>
    <cellStyle name="60% - Accent2 2" xfId="129" xr:uid="{95BAA4C4-5E6F-4757-9B54-1B9BCAAB45D6}"/>
    <cellStyle name="60% - Accent3 2" xfId="130" xr:uid="{DB8827F5-0531-4CEE-865F-17203F29C21B}"/>
    <cellStyle name="60% - Accent4 2" xfId="131" xr:uid="{015D7E91-AAF2-4A1B-A274-7827C47A8D37}"/>
    <cellStyle name="60% - Accent5 2" xfId="132" xr:uid="{C255B06E-6195-4F41-8F43-4C034C5D0225}"/>
    <cellStyle name="60% - Accent6 2" xfId="133" xr:uid="{971C3285-70A1-41EA-A39E-7F52AFEDBECB}"/>
    <cellStyle name="Accent1" xfId="13" builtinId="29" customBuiltin="1"/>
    <cellStyle name="Accent2" xfId="16" builtinId="33" customBuiltin="1"/>
    <cellStyle name="Accent3" xfId="19" builtinId="37" customBuiltin="1"/>
    <cellStyle name="Accent4" xfId="22" builtinId="41" customBuiltin="1"/>
    <cellStyle name="Accent5" xfId="25" builtinId="45" customBuiltin="1"/>
    <cellStyle name="Accent6" xfId="28" builtinId="49" customBuiltin="1"/>
    <cellStyle name="Bad" xfId="5" builtinId="27" customBuiltin="1"/>
    <cellStyle name="Body: normal cell" xfId="174" xr:uid="{4FD23120-3C84-44E1-B326-26F2686D9CCE}"/>
    <cellStyle name="Calculation" xfId="8" builtinId="22" customBuiltin="1"/>
    <cellStyle name="Check Cell" xfId="10" builtinId="23" customBuiltin="1"/>
    <cellStyle name="Comma 2" xfId="126" xr:uid="{63476D67-DC2C-4743-A165-5FCCC7FDFADF}"/>
    <cellStyle name="Comma0" xfId="32" xr:uid="{851E0807-9CAC-42AD-AE13-701C7C443B56}"/>
    <cellStyle name="Currency 2" xfId="34" xr:uid="{4BEF924F-506B-45FD-96C0-788866DE2239}"/>
    <cellStyle name="Currency 3" xfId="33" xr:uid="{B7FF5DD0-CA69-47AB-8309-B46D11463E75}"/>
    <cellStyle name="Currency0" xfId="35" xr:uid="{1B71428E-E36C-4D58-B3F5-64608B5CDBB1}"/>
    <cellStyle name="Date" xfId="36" xr:uid="{613A2E1F-D114-4E71-A591-78950CF7F11D}"/>
    <cellStyle name="Explanatory Text" xfId="12" builtinId="53" customBuiltin="1"/>
    <cellStyle name="F2" xfId="37" xr:uid="{D5EAFB6F-9D58-4D9A-A30F-A714FA9B2A46}"/>
    <cellStyle name="F3" xfId="38" xr:uid="{B93E938C-A4AE-45F0-A891-009251EFA977}"/>
    <cellStyle name="F4" xfId="39" xr:uid="{8BBBB2E5-D8DC-45DA-B7D3-A9976C78578C}"/>
    <cellStyle name="F5" xfId="40" xr:uid="{E9FDC154-34D4-4B54-B0D1-8E732AAC4A79}"/>
    <cellStyle name="F6" xfId="41" xr:uid="{C4B3C0BD-F4E6-47AF-B8C4-D7CE77F4BCBC}"/>
    <cellStyle name="F7" xfId="42" xr:uid="{715BF966-013E-4C2A-96BD-1CCC55FD6A9C}"/>
    <cellStyle name="F8" xfId="43" xr:uid="{42804CBC-8EAE-4F07-B2B6-96459812E909}"/>
    <cellStyle name="Fixed" xfId="44" xr:uid="{AD250053-DE6F-400C-934F-CA5B396E60DE}"/>
    <cellStyle name="Good" xfId="4" builtinId="26" customBuiltin="1"/>
    <cellStyle name="Heading 1 2" xfId="153" xr:uid="{271D22C2-5A30-48D4-9E1D-956C0456E656}"/>
    <cellStyle name="Heading 1 3" xfId="45" xr:uid="{6AFE4ACC-230C-40A4-9728-8E032CED6FFF}"/>
    <cellStyle name="Heading 2 2" xfId="154" xr:uid="{196040CA-4B73-419E-8552-2A1EBA32BD0B}"/>
    <cellStyle name="Heading 2 3" xfId="46" xr:uid="{844FAB01-B9FE-4909-8C46-6B73ECD9B2B9}"/>
    <cellStyle name="Heading 3" xfId="2" builtinId="18" customBuiltin="1"/>
    <cellStyle name="Heading 4" xfId="3" builtinId="19" customBuiltin="1"/>
    <cellStyle name="Heading1" xfId="47" xr:uid="{4170929B-F846-4082-B4B2-9F5842746945}"/>
    <cellStyle name="Heading2" xfId="48" xr:uid="{7701A066-99D9-4CB2-9A66-44A715B57C3C}"/>
    <cellStyle name="Hyperlink" xfId="1" builtinId="8"/>
    <cellStyle name="Input" xfId="6" builtinId="20" customBuiltin="1"/>
    <cellStyle name="Linked Cell" xfId="9" builtinId="24" customBuiltin="1"/>
    <cellStyle name="Neutral 2" xfId="127" xr:uid="{3AE6500E-1EBA-478D-B4CF-55E480D5F362}"/>
    <cellStyle name="Normal" xfId="0" builtinId="0"/>
    <cellStyle name="Normal 2" xfId="31" xr:uid="{BDD15E19-B84E-4A6E-9422-47AAF10C114E}"/>
    <cellStyle name="Normal 2 2" xfId="175" xr:uid="{B362D355-BA0C-43F3-A6D4-B9E1FBD9F06F}"/>
    <cellStyle name="Note 2" xfId="158" xr:uid="{80FC1683-A141-4C92-A15D-F0F1E9897C7B}"/>
    <cellStyle name="Note 3" xfId="155" xr:uid="{0082242E-2EC4-4D53-88C2-BDF61F147DC8}"/>
    <cellStyle name="Output" xfId="7" builtinId="21" customBuiltin="1"/>
    <cellStyle name="Percent 2" xfId="157" xr:uid="{ED4B6E11-8760-47C3-B3AB-7B3B9C37A0C2}"/>
    <cellStyle name="Percent 3" xfId="151" xr:uid="{FD421EE7-FAC3-498C-A805-3F1902B7C04E}"/>
    <cellStyle name="Percent 4" xfId="49" xr:uid="{1840F759-E1C7-4050-A08B-75483C868019}"/>
    <cellStyle name="Style 101" xfId="50" xr:uid="{E9FF263C-FD17-48FE-A08C-CFA925CC521E}"/>
    <cellStyle name="Style 103" xfId="51" xr:uid="{12140A17-8DD5-430E-BFCD-B83CD68C4385}"/>
    <cellStyle name="Style 105" xfId="52" xr:uid="{BEB53A24-2F56-49EB-AA61-BB1F37FC5F2F}"/>
    <cellStyle name="Style 107" xfId="53" xr:uid="{BA4B196C-4704-4804-9444-24A9C6E44E5D}"/>
    <cellStyle name="Style 109" xfId="54" xr:uid="{72D392F0-2950-4394-B9EE-6B8D95BB4FD3}"/>
    <cellStyle name="Style 111" xfId="55" xr:uid="{423A494A-23E4-4637-960D-EFE54D0155E4}"/>
    <cellStyle name="Style 113" xfId="56" xr:uid="{3679C9CB-5D51-4DE4-A24E-19BE367FCEC0}"/>
    <cellStyle name="Style 115" xfId="57" xr:uid="{EE34B17B-4FAB-4621-BD57-DD1929234644}"/>
    <cellStyle name="Style 117" xfId="58" xr:uid="{5679F641-90A3-478A-A25B-06CCE209B5DE}"/>
    <cellStyle name="Style 119" xfId="59" xr:uid="{B0B0F93D-1A2E-4DE4-9487-3E30F43283A7}"/>
    <cellStyle name="Style 121" xfId="60" xr:uid="{E28108D8-EC46-4B4B-ABA8-7EB011054115}"/>
    <cellStyle name="Style 123" xfId="61" xr:uid="{787A4A68-099E-40A6-85FA-A71D31AD671B}"/>
    <cellStyle name="Style 125" xfId="62" xr:uid="{E90FD0A4-025F-4261-963C-09D19DF77B52}"/>
    <cellStyle name="Style 127" xfId="63" xr:uid="{38069508-2516-43D4-8FCA-EC789BDCE9F3}"/>
    <cellStyle name="Style 129" xfId="64" xr:uid="{8BF18382-476E-4BB5-AE5B-D1812F7CBE3A}"/>
    <cellStyle name="Style 131" xfId="65" xr:uid="{9A33F2F7-CDB6-4ADE-A521-6AE148F01213}"/>
    <cellStyle name="Style 133" xfId="66" xr:uid="{39B19F85-6D9B-41E4-87ED-E38C66D65EAB}"/>
    <cellStyle name="Style 135" xfId="67" xr:uid="{7A3B7AEF-FD17-485E-A8A6-4AF004AB153C}"/>
    <cellStyle name="Style 137" xfId="68" xr:uid="{DE3F8AC6-7C39-4A3A-BE8C-08E960FF6D09}"/>
    <cellStyle name="Style 139" xfId="69" xr:uid="{88342B08-B168-4D36-951B-EFEFE200EEC0}"/>
    <cellStyle name="Style 141" xfId="70" xr:uid="{03EF0044-4634-4185-8986-396E1C4361B6}"/>
    <cellStyle name="Style 143" xfId="71" xr:uid="{88115C59-0285-4D14-9792-F978270AFF8C}"/>
    <cellStyle name="Style 145" xfId="72" xr:uid="{87F9E784-8C13-4F83-99A0-2960699A3A9E}"/>
    <cellStyle name="Style 147" xfId="73" xr:uid="{8DCA612B-7A7B-4055-BBDB-E76C5022DC1A}"/>
    <cellStyle name="Style 149" xfId="74" xr:uid="{0EA15F37-3FDE-41B1-9A8D-C08470E886C0}"/>
    <cellStyle name="Style 151" xfId="75" xr:uid="{B51FA206-83B5-4C6D-8B09-14811119DF02}"/>
    <cellStyle name="Style 153" xfId="76" xr:uid="{BDDFF89C-4027-4560-876C-5198AAC170FD}"/>
    <cellStyle name="Style 155" xfId="77" xr:uid="{A4318B82-9AE3-4CFA-9857-D5B5A72A7B53}"/>
    <cellStyle name="Style 157" xfId="78" xr:uid="{F0D7536B-9928-4509-AF4F-3EAF3FF657E3}"/>
    <cellStyle name="Style 159" xfId="79" xr:uid="{C6F971BD-A646-4002-A078-29FE68148238}"/>
    <cellStyle name="Style 161" xfId="80" xr:uid="{9D6674E0-AA2A-40C8-B612-7305DCB0D486}"/>
    <cellStyle name="Style 21" xfId="134" xr:uid="{96122C52-7D63-456E-BBA6-41DB51793363}"/>
    <cellStyle name="Style 22" xfId="81" xr:uid="{CD924FF5-3484-48E0-8F96-DB5D8D2414B4}"/>
    <cellStyle name="Style 22 2" xfId="135" xr:uid="{9CF66C52-5507-40BA-A64C-A1FA7B036B41}"/>
    <cellStyle name="Style 23" xfId="82" xr:uid="{8A384705-EBB2-4055-8AC7-98C50632E655}"/>
    <cellStyle name="Style 23 2" xfId="136" xr:uid="{33F36B5D-B1A7-418A-99F6-4185DDAC2D74}"/>
    <cellStyle name="Style 24" xfId="83" xr:uid="{4CE14DE0-057E-4BB7-8EE4-FBB3F6A425F9}"/>
    <cellStyle name="Style 24 2" xfId="137" xr:uid="{2FAB5217-CEA8-449B-B2D8-73BC799ED0D3}"/>
    <cellStyle name="Style 25" xfId="138" xr:uid="{D3C794EB-196B-4B3A-8CEE-CE8595278D65}"/>
    <cellStyle name="Style 26" xfId="84" xr:uid="{7CB0C7EE-3646-47E8-932B-9204A9A35744}"/>
    <cellStyle name="Style 26 2" xfId="139" xr:uid="{381C2482-1649-4543-901E-B1175E23BCD9}"/>
    <cellStyle name="Style 27" xfId="85" xr:uid="{425DBD66-E893-4FB0-BA8F-8A457C19ECE2}"/>
    <cellStyle name="Style 27 2" xfId="140" xr:uid="{5792A881-F25A-43F7-8932-DA3943D167EE}"/>
    <cellStyle name="Style 27 3" xfId="171" xr:uid="{1E83E8B6-1306-4096-9225-14C28B75C58A}"/>
    <cellStyle name="Style 28" xfId="141" xr:uid="{FCF11026-CB03-4F1D-B294-1E7450374F37}"/>
    <cellStyle name="Style 28 2" xfId="172" xr:uid="{B9363081-48DE-4849-8925-5C946608A151}"/>
    <cellStyle name="Style 29" xfId="142" xr:uid="{7E668BA5-B88D-439C-B5DA-FEA4E27734BF}"/>
    <cellStyle name="Style 30" xfId="143" xr:uid="{E373620C-0825-469E-9178-195694F46378}"/>
    <cellStyle name="Style 31" xfId="144" xr:uid="{A232E59E-14FE-430C-9F9B-C934C58C6048}"/>
    <cellStyle name="Style 32" xfId="145" xr:uid="{272D8835-D13C-4733-80D3-9A7E2B681A7D}"/>
    <cellStyle name="Style 33" xfId="146" xr:uid="{E8AAE602-58C0-4BDB-A58C-035144B295AA}"/>
    <cellStyle name="Style 34" xfId="147" xr:uid="{FD96F30C-D402-4CAA-9C53-6642A5BB6AEA}"/>
    <cellStyle name="Style 35" xfId="148" xr:uid="{2757F4C3-C2AF-4827-881A-BC96A26FD186}"/>
    <cellStyle name="Style 36" xfId="149" xr:uid="{F1018E76-F192-4EDA-9257-21AC981A65A3}"/>
    <cellStyle name="Style 37" xfId="150" xr:uid="{2278FBBF-B97C-41E8-AA71-439AF62E04F1}"/>
    <cellStyle name="Style 37 2" xfId="173" xr:uid="{3C4E400F-2F94-44D5-8DD3-BD98F886B350}"/>
    <cellStyle name="Style 40" xfId="86" xr:uid="{CFE5A1F6-D111-4653-8BED-8A02E183C585}"/>
    <cellStyle name="Style 41" xfId="87" xr:uid="{727F5444-271C-4250-A7F6-6CED308E49E7}"/>
    <cellStyle name="Style 42" xfId="88" xr:uid="{3D09DD2E-C6B7-48E7-B725-DEAE37E4C999}"/>
    <cellStyle name="Style 43" xfId="89" xr:uid="{125B241B-554D-43AC-9E2D-F00E9D2F35F0}"/>
    <cellStyle name="Style 44" xfId="90" xr:uid="{A033EB0E-0367-48BE-8868-9C102A8A7AAF}"/>
    <cellStyle name="Style 45" xfId="91" xr:uid="{FA6A6145-F235-4693-A40A-9210F805786B}"/>
    <cellStyle name="Style 46" xfId="92" xr:uid="{E3FD1D3A-4B46-4904-BBEF-AFF7DA02F0A9}"/>
    <cellStyle name="Style 47" xfId="93" xr:uid="{E7043890-3C24-4834-806A-1018C7990C0B}"/>
    <cellStyle name="Style 48" xfId="94" xr:uid="{A7ACFAD7-F479-4ACC-93F6-EAB93FE6B202}"/>
    <cellStyle name="Style 49" xfId="95" xr:uid="{264A621D-B55F-4D49-A8FD-F01949168DAC}"/>
    <cellStyle name="Style 50" xfId="96" xr:uid="{1E1B01D7-3142-4A28-AED8-2128F69D3FBA}"/>
    <cellStyle name="Style 54" xfId="97" xr:uid="{4A1231FE-736F-470A-BE82-450BD8526C79}"/>
    <cellStyle name="Style 56" xfId="98" xr:uid="{FFC0A0A0-7EFB-4C66-95C4-76E98CC5FB82}"/>
    <cellStyle name="Style 57" xfId="99" xr:uid="{0FFE230D-2C5B-4712-9BBD-B41E52A77307}"/>
    <cellStyle name="Style 58" xfId="100" xr:uid="{07719B78-4843-460E-84CF-8D7A5FFFE5A9}"/>
    <cellStyle name="Style 59" xfId="101" xr:uid="{B8CE567E-A259-4C89-9EB9-1476CEB0B9BD}"/>
    <cellStyle name="Style 60" xfId="102" xr:uid="{2D0790AD-1B83-4556-84E6-149383E64BFA}"/>
    <cellStyle name="Style 62" xfId="103" xr:uid="{E431A92C-7F1E-437E-9507-16E8CA846EDC}"/>
    <cellStyle name="Style 63" xfId="104" xr:uid="{59FE1AFF-D0F2-43E5-9098-12A6CAE11919}"/>
    <cellStyle name="Style 64" xfId="105" xr:uid="{1521017F-378B-4560-A874-F9582543FD32}"/>
    <cellStyle name="Style 65" xfId="106" xr:uid="{4048917F-ADC8-41A6-AB0A-9D9C72F601CE}"/>
    <cellStyle name="Style 66" xfId="107" xr:uid="{21169F40-B383-488E-9C05-6201B5FE4D06}"/>
    <cellStyle name="Style 67" xfId="108" xr:uid="{59BF4B25-AB7F-48FE-B683-CD362EBADB55}"/>
    <cellStyle name="Style 68" xfId="109" xr:uid="{F7F79A19-55C3-4C10-898F-A1A8E7E3F66F}"/>
    <cellStyle name="Style 69" xfId="110" xr:uid="{E2A96EFD-55AD-4FC8-A95A-018DF5B66D8E}"/>
    <cellStyle name="Style 70" xfId="111" xr:uid="{9B9A273A-98B7-4A07-B50D-9E542D006195}"/>
    <cellStyle name="Style 71" xfId="112" xr:uid="{6097FFA7-15E9-4E27-9E25-26FF1E152D37}"/>
    <cellStyle name="Style 72" xfId="113" xr:uid="{AACC240C-7DE8-45AF-AB90-5DDD49F887F6}"/>
    <cellStyle name="Style 73" xfId="114" xr:uid="{C5DE5139-665A-4E9B-9C42-8F455DF9659A}"/>
    <cellStyle name="Style 74" xfId="115" xr:uid="{733CAA9D-BA1C-49F4-9E4E-D21E7D0C0B53}"/>
    <cellStyle name="Style 83" xfId="116" xr:uid="{A2C25E1E-D53F-4D66-91BD-AD77FCEFD517}"/>
    <cellStyle name="Style 85" xfId="117" xr:uid="{44E7CAFB-14FB-412E-8366-4377C582BE0B}"/>
    <cellStyle name="Style 87" xfId="118" xr:uid="{30087DA3-B2B3-4DBE-A153-0F6966BA69EA}"/>
    <cellStyle name="Style 89" xfId="119" xr:uid="{B91BCCFB-8022-42FC-AF6A-F3EDFF6AED7F}"/>
    <cellStyle name="Style 91" xfId="120" xr:uid="{182BD125-3451-4229-8E8B-DC4B59C11152}"/>
    <cellStyle name="Style 93" xfId="121" xr:uid="{944AFA7C-0417-47B9-A260-9ADDEC170EEB}"/>
    <cellStyle name="Style 95" xfId="122" xr:uid="{F2EF61A0-AC96-4F22-90F3-D1C80660265D}"/>
    <cellStyle name="Style 97" xfId="123" xr:uid="{4F31C5B9-4233-4A04-BEB3-1BDD368EC1E1}"/>
    <cellStyle name="Style 99" xfId="124" xr:uid="{6AA45865-B545-4875-9D68-D3E94D9896DC}"/>
    <cellStyle name="Title 2" xfId="152" xr:uid="{D1786FE9-0E61-455A-8E78-E4B50C3F80CF}"/>
    <cellStyle name="Total 2" xfId="156" xr:uid="{B72D5D80-94BC-4BFC-8C7A-3FB01A551ED4}"/>
    <cellStyle name="Total 3" xfId="125" xr:uid="{EC554B60-D492-4214-B738-26FB3F5E42C6}"/>
    <cellStyle name="Warning Text" xfId="1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HPS</c:v>
          </c:tx>
          <c:spPr>
            <a:ln w="19050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'Steam Prices Calculations'!$A$15:$A$98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'Steam Prices Calculations'!$D$15:$D$98</c:f>
              <c:numCache>
                <c:formatCode>0.00</c:formatCode>
                <c:ptCount val="84"/>
                <c:pt idx="0">
                  <c:v>10.987447058823529</c:v>
                </c:pt>
                <c:pt idx="1">
                  <c:v>9.9846245098039219</c:v>
                </c:pt>
                <c:pt idx="2">
                  <c:v>10.217163071895426</c:v>
                </c:pt>
                <c:pt idx="3">
                  <c:v>11.350788562091502</c:v>
                </c:pt>
                <c:pt idx="4">
                  <c:v>10.44970163398693</c:v>
                </c:pt>
                <c:pt idx="5">
                  <c:v>10.44970163398693</c:v>
                </c:pt>
                <c:pt idx="6">
                  <c:v>10.536903594771241</c:v>
                </c:pt>
                <c:pt idx="7">
                  <c:v>11.597860784313726</c:v>
                </c:pt>
                <c:pt idx="8">
                  <c:v>11.917601307189541</c:v>
                </c:pt>
                <c:pt idx="9">
                  <c:v>12.775087254901958</c:v>
                </c:pt>
                <c:pt idx="10">
                  <c:v>12.019336928104574</c:v>
                </c:pt>
                <c:pt idx="11">
                  <c:v>11.597860784313726</c:v>
                </c:pt>
                <c:pt idx="12">
                  <c:v>10.609571895424835</c:v>
                </c:pt>
                <c:pt idx="13">
                  <c:v>8.7347297385620912</c:v>
                </c:pt>
                <c:pt idx="14">
                  <c:v>7.5284359477124179</c:v>
                </c:pt>
                <c:pt idx="15">
                  <c:v>7.1505607843137255</c:v>
                </c:pt>
                <c:pt idx="16">
                  <c:v>6.3076084967320263</c:v>
                </c:pt>
                <c:pt idx="17">
                  <c:v>5.217583986928104</c:v>
                </c:pt>
                <c:pt idx="18">
                  <c:v>5.2611849673202622</c:v>
                </c:pt>
                <c:pt idx="19">
                  <c:v>5.3483869281045759</c:v>
                </c:pt>
                <c:pt idx="20">
                  <c:v>6.1186709150326797</c:v>
                </c:pt>
                <c:pt idx="21">
                  <c:v>7.3540320261437886</c:v>
                </c:pt>
                <c:pt idx="22">
                  <c:v>7.4848349673202623</c:v>
                </c:pt>
                <c:pt idx="23">
                  <c:v>6.7145509803921559</c:v>
                </c:pt>
                <c:pt idx="24">
                  <c:v>5.2757186274509804</c:v>
                </c:pt>
                <c:pt idx="25">
                  <c:v>4.2292950980392154</c:v>
                </c:pt>
                <c:pt idx="26">
                  <c:v>3.953155555555556</c:v>
                </c:pt>
                <c:pt idx="27">
                  <c:v>3.0811359477124181</c:v>
                </c:pt>
                <c:pt idx="28">
                  <c:v>2.2963183006535948</c:v>
                </c:pt>
                <c:pt idx="29">
                  <c:v>2.5433905228758174</c:v>
                </c:pt>
                <c:pt idx="30">
                  <c:v>2.616058823529412</c:v>
                </c:pt>
                <c:pt idx="31">
                  <c:v>4.1566267973856208</c:v>
                </c:pt>
                <c:pt idx="32">
                  <c:v>5.7407957516339874</c:v>
                </c:pt>
                <c:pt idx="33">
                  <c:v>7.1069598039215673</c:v>
                </c:pt>
                <c:pt idx="34">
                  <c:v>7.0342915032679736</c:v>
                </c:pt>
                <c:pt idx="35">
                  <c:v>8.5167248366013073</c:v>
                </c:pt>
                <c:pt idx="36">
                  <c:v>10.565970915032679</c:v>
                </c:pt>
                <c:pt idx="37">
                  <c:v>8.9527346405228769</c:v>
                </c:pt>
                <c:pt idx="38">
                  <c:v>8.9091336601307187</c:v>
                </c:pt>
                <c:pt idx="39">
                  <c:v>10.391566993464052</c:v>
                </c:pt>
                <c:pt idx="40">
                  <c:v>12.949491176470588</c:v>
                </c:pt>
                <c:pt idx="41">
                  <c:v>14.969669934640525</c:v>
                </c:pt>
                <c:pt idx="42">
                  <c:v>18.181608823529412</c:v>
                </c:pt>
                <c:pt idx="43">
                  <c:v>22.425437581699345</c:v>
                </c:pt>
                <c:pt idx="44">
                  <c:v>33.194879738562086</c:v>
                </c:pt>
                <c:pt idx="45">
                  <c:v>45.127014705882353</c:v>
                </c:pt>
                <c:pt idx="46">
                  <c:v>40.141969281045753</c:v>
                </c:pt>
                <c:pt idx="47">
                  <c:v>55.271509477124177</c:v>
                </c:pt>
                <c:pt idx="48">
                  <c:v>41.072123529411762</c:v>
                </c:pt>
                <c:pt idx="49">
                  <c:v>39.575156535947713</c:v>
                </c:pt>
                <c:pt idx="50">
                  <c:v>61.608185294117646</c:v>
                </c:pt>
                <c:pt idx="51">
                  <c:v>46.798385620915035</c:v>
                </c:pt>
                <c:pt idx="52">
                  <c:v>42.394686601307193</c:v>
                </c:pt>
                <c:pt idx="53">
                  <c:v>48.774963398692812</c:v>
                </c:pt>
                <c:pt idx="54">
                  <c:v>74.601277450980376</c:v>
                </c:pt>
                <c:pt idx="55">
                  <c:v>101.79375555555555</c:v>
                </c:pt>
                <c:pt idx="56">
                  <c:v>85.893931372549019</c:v>
                </c:pt>
                <c:pt idx="57">
                  <c:v>56.710341830065374</c:v>
                </c:pt>
                <c:pt idx="58">
                  <c:v>51.914233986928103</c:v>
                </c:pt>
                <c:pt idx="59">
                  <c:v>52.3793111111111</c:v>
                </c:pt>
                <c:pt idx="60">
                  <c:v>29.328926143790845</c:v>
                </c:pt>
                <c:pt idx="61">
                  <c:v>24.038673856209147</c:v>
                </c:pt>
                <c:pt idx="62">
                  <c:v>20.070984640522877</c:v>
                </c:pt>
                <c:pt idx="63">
                  <c:v>19.649508496732025</c:v>
                </c:pt>
                <c:pt idx="64">
                  <c:v>14.693530392156863</c:v>
                </c:pt>
                <c:pt idx="65">
                  <c:v>15.042338235294116</c:v>
                </c:pt>
                <c:pt idx="66">
                  <c:v>13.879645424836601</c:v>
                </c:pt>
                <c:pt idx="67">
                  <c:v>16.263165686274508</c:v>
                </c:pt>
                <c:pt idx="68">
                  <c:v>16.786377450980392</c:v>
                </c:pt>
                <c:pt idx="69">
                  <c:v>21.175542810457515</c:v>
                </c:pt>
                <c:pt idx="70">
                  <c:v>21.059273529411765</c:v>
                </c:pt>
                <c:pt idx="71">
                  <c:v>16.728242810457516</c:v>
                </c:pt>
                <c:pt idx="72">
                  <c:v>13.89417908496732</c:v>
                </c:pt>
                <c:pt idx="73">
                  <c:v>11.844933006535948</c:v>
                </c:pt>
                <c:pt idx="74">
                  <c:v>12.426279411764707</c:v>
                </c:pt>
                <c:pt idx="75">
                  <c:v>13.21109705882353</c:v>
                </c:pt>
                <c:pt idx="76">
                  <c:v>14.708064052287577</c:v>
                </c:pt>
                <c:pt idx="77">
                  <c:v>15.7980885620915</c:v>
                </c:pt>
                <c:pt idx="78">
                  <c:v>15.042338235294116</c:v>
                </c:pt>
                <c:pt idx="79">
                  <c:v>17.978137581699347</c:v>
                </c:pt>
                <c:pt idx="80">
                  <c:v>17.120651633986924</c:v>
                </c:pt>
                <c:pt idx="81">
                  <c:v>18.77748888888889</c:v>
                </c:pt>
                <c:pt idx="82">
                  <c:v>20.245388562091502</c:v>
                </c:pt>
                <c:pt idx="83">
                  <c:v>20.14365294117647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3-4230-8473-73461C0FEFD4}"/>
            </c:ext>
          </c:extLst>
        </c:ser>
        <c:ser>
          <c:idx val="1"/>
          <c:order val="1"/>
          <c:tx>
            <c:v>MPS</c:v>
          </c:tx>
          <c:spPr>
            <a:ln w="19050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xVal>
            <c:numRef>
              <c:f>'Steam Prices Calculations'!$A$15:$A$98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'Steam Prices Calculations'!$E$15:$E$98</c:f>
              <c:numCache>
                <c:formatCode>0.00</c:formatCode>
                <c:ptCount val="84"/>
                <c:pt idx="0">
                  <c:v>9.5959449100265264</c:v>
                </c:pt>
                <c:pt idx="1">
                  <c:v>8.7201245412542647</c:v>
                </c:pt>
                <c:pt idx="2">
                  <c:v>8.9232133224188477</c:v>
                </c:pt>
                <c:pt idx="3">
                  <c:v>9.9132711305961863</c:v>
                </c:pt>
                <c:pt idx="4">
                  <c:v>9.1263021035834306</c:v>
                </c:pt>
                <c:pt idx="5">
                  <c:v>9.1263021035834306</c:v>
                </c:pt>
                <c:pt idx="6">
                  <c:v>9.2024603965201486</c:v>
                </c:pt>
                <c:pt idx="7">
                  <c:v>10.129052960583556</c:v>
                </c:pt>
                <c:pt idx="8">
                  <c:v>10.408300034684856</c:v>
                </c:pt>
                <c:pt idx="9">
                  <c:v>11.157189915229253</c:v>
                </c:pt>
                <c:pt idx="10">
                  <c:v>10.497151376444362</c:v>
                </c:pt>
                <c:pt idx="11">
                  <c:v>10.129052960583556</c:v>
                </c:pt>
                <c:pt idx="12">
                  <c:v>9.2659256406340784</c:v>
                </c:pt>
                <c:pt idx="13">
                  <c:v>7.6285223424946329</c:v>
                </c:pt>
                <c:pt idx="14">
                  <c:v>6.5749992902033609</c:v>
                </c:pt>
                <c:pt idx="15">
                  <c:v>6.2449800208109147</c:v>
                </c:pt>
                <c:pt idx="16">
                  <c:v>5.5087831890893026</c:v>
                </c:pt>
                <c:pt idx="17">
                  <c:v>4.5568045273803213</c:v>
                </c:pt>
                <c:pt idx="18">
                  <c:v>4.5948836738486811</c:v>
                </c:pt>
                <c:pt idx="19">
                  <c:v>4.6710419667854</c:v>
                </c:pt>
                <c:pt idx="20">
                  <c:v>5.3437735543930796</c:v>
                </c:pt>
                <c:pt idx="21">
                  <c:v>6.4226827043299224</c:v>
                </c:pt>
                <c:pt idx="22">
                  <c:v>6.5369201437350029</c:v>
                </c:pt>
                <c:pt idx="23">
                  <c:v>5.8641885561273215</c:v>
                </c:pt>
                <c:pt idx="24">
                  <c:v>4.6075767226714675</c:v>
                </c:pt>
                <c:pt idx="25">
                  <c:v>3.6936772074308455</c:v>
                </c:pt>
                <c:pt idx="26">
                  <c:v>3.4525092797979045</c:v>
                </c:pt>
                <c:pt idx="27">
                  <c:v>2.6909263504307193</c:v>
                </c:pt>
                <c:pt idx="28">
                  <c:v>2.0055017140002529</c:v>
                </c:pt>
                <c:pt idx="29">
                  <c:v>2.2212835439876226</c:v>
                </c:pt>
                <c:pt idx="30">
                  <c:v>2.2847487881015547</c:v>
                </c:pt>
                <c:pt idx="31">
                  <c:v>3.6302119633169139</c:v>
                </c:pt>
                <c:pt idx="32">
                  <c:v>5.0137542850006325</c:v>
                </c:pt>
                <c:pt idx="33">
                  <c:v>6.206900874342554</c:v>
                </c:pt>
                <c:pt idx="34">
                  <c:v>6.1434356302286224</c:v>
                </c:pt>
                <c:pt idx="35">
                  <c:v>7.438126610152838</c:v>
                </c:pt>
                <c:pt idx="36">
                  <c:v>9.2278464941657194</c:v>
                </c:pt>
                <c:pt idx="37">
                  <c:v>7.8189180748364304</c:v>
                </c:pt>
                <c:pt idx="38">
                  <c:v>7.7808389283680706</c:v>
                </c:pt>
                <c:pt idx="39">
                  <c:v>9.0755299082922836</c:v>
                </c:pt>
                <c:pt idx="40">
                  <c:v>11.309506501102693</c:v>
                </c:pt>
                <c:pt idx="41">
                  <c:v>13.073840287470006</c:v>
                </c:pt>
                <c:pt idx="42">
                  <c:v>15.879004077305803</c:v>
                </c:pt>
                <c:pt idx="43">
                  <c:v>19.585374333559432</c:v>
                </c:pt>
                <c:pt idx="44">
                  <c:v>28.990923511244162</c:v>
                </c:pt>
                <c:pt idx="45">
                  <c:v>39.411916594751801</c:v>
                </c:pt>
                <c:pt idx="46">
                  <c:v>35.058200848536067</c:v>
                </c:pt>
                <c:pt idx="47">
                  <c:v>48.271664673056719</c:v>
                </c:pt>
                <c:pt idx="48">
                  <c:v>35.870555973194399</c:v>
                </c:pt>
                <c:pt idx="49">
                  <c:v>34.563171944447397</c:v>
                </c:pt>
                <c:pt idx="50">
                  <c:v>53.805833959791599</c:v>
                </c:pt>
                <c:pt idx="51">
                  <c:v>40.871617209372246</c:v>
                </c:pt>
                <c:pt idx="52">
                  <c:v>37.025623416067965</c:v>
                </c:pt>
                <c:pt idx="53">
                  <c:v>42.597871849271193</c:v>
                </c:pt>
                <c:pt idx="54">
                  <c:v>65.153419607362636</c:v>
                </c:pt>
                <c:pt idx="55">
                  <c:v>88.902113954796022</c:v>
                </c:pt>
                <c:pt idx="56">
                  <c:v>75.015918542667691</c:v>
                </c:pt>
                <c:pt idx="57">
                  <c:v>49.52827650651259</c:v>
                </c:pt>
                <c:pt idx="58">
                  <c:v>45.339570394993061</c:v>
                </c:pt>
                <c:pt idx="59">
                  <c:v>45.745747957322223</c:v>
                </c:pt>
                <c:pt idx="60">
                  <c:v>25.614572524382975</c:v>
                </c:pt>
                <c:pt idx="61">
                  <c:v>20.994302752888725</c:v>
                </c:pt>
                <c:pt idx="62">
                  <c:v>17.529100424268034</c:v>
                </c:pt>
                <c:pt idx="63">
                  <c:v>17.161002008407227</c:v>
                </c:pt>
                <c:pt idx="64">
                  <c:v>12.832672359837062</c:v>
                </c:pt>
                <c:pt idx="65">
                  <c:v>13.137305531583936</c:v>
                </c:pt>
                <c:pt idx="66">
                  <c:v>12.121861625761023</c:v>
                </c:pt>
                <c:pt idx="67">
                  <c:v>14.203521632697994</c:v>
                </c:pt>
                <c:pt idx="68">
                  <c:v>14.660471390318305</c:v>
                </c:pt>
                <c:pt idx="69">
                  <c:v>18.493772134799798</c:v>
                </c:pt>
                <c:pt idx="70">
                  <c:v>18.392227744217511</c:v>
                </c:pt>
                <c:pt idx="71">
                  <c:v>14.60969919502716</c:v>
                </c:pt>
                <c:pt idx="72">
                  <c:v>12.134554674583811</c:v>
                </c:pt>
                <c:pt idx="73">
                  <c:v>10.344834790570927</c:v>
                </c:pt>
                <c:pt idx="74">
                  <c:v>10.852556743482383</c:v>
                </c:pt>
                <c:pt idx="75">
                  <c:v>11.537981379912848</c:v>
                </c:pt>
                <c:pt idx="76">
                  <c:v>12.845365408659845</c:v>
                </c:pt>
                <c:pt idx="77">
                  <c:v>13.797344070368826</c:v>
                </c:pt>
                <c:pt idx="78">
                  <c:v>13.137305531583936</c:v>
                </c:pt>
                <c:pt idx="79">
                  <c:v>15.701301393786791</c:v>
                </c:pt>
                <c:pt idx="80">
                  <c:v>14.95241151324239</c:v>
                </c:pt>
                <c:pt idx="81">
                  <c:v>16.399419079040044</c:v>
                </c:pt>
                <c:pt idx="82">
                  <c:v>17.681417010141473</c:v>
                </c:pt>
                <c:pt idx="83">
                  <c:v>17.592565668381965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03-4230-8473-73461C0FEFD4}"/>
            </c:ext>
          </c:extLst>
        </c:ser>
        <c:ser>
          <c:idx val="2"/>
          <c:order val="2"/>
          <c:tx>
            <c:v>LPS</c:v>
          </c:tx>
          <c:spPr>
            <a:ln w="19050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1">
                    <a:tint val="86000"/>
                  </a:schemeClr>
                </a:solidFill>
              </a:ln>
              <a:effectLst/>
            </c:spPr>
          </c:marker>
          <c:xVal>
            <c:numRef>
              <c:f>'Steam Prices Calculations'!$A$15:$A$98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'Steam Prices Calculations'!$F$15:$F$98</c:f>
              <c:numCache>
                <c:formatCode>0.00</c:formatCode>
                <c:ptCount val="84"/>
                <c:pt idx="0">
                  <c:v>8.5898143645987286</c:v>
                </c:pt>
                <c:pt idx="1">
                  <c:v>7.8058233710044007</c:v>
                </c:pt>
                <c:pt idx="2">
                  <c:v>7.9876183840117809</c:v>
                </c:pt>
                <c:pt idx="3">
                  <c:v>8.8738690724227585</c:v>
                </c:pt>
                <c:pt idx="4">
                  <c:v>8.1694133970191629</c:v>
                </c:pt>
                <c:pt idx="5">
                  <c:v>8.1694133970191629</c:v>
                </c:pt>
                <c:pt idx="6">
                  <c:v>8.2375865268969282</c:v>
                </c:pt>
                <c:pt idx="7">
                  <c:v>9.0670262737431031</c:v>
                </c:pt>
                <c:pt idx="8">
                  <c:v>9.3169944166282495</c:v>
                </c:pt>
                <c:pt idx="9">
                  <c:v>9.987363527092965</c:v>
                </c:pt>
                <c:pt idx="10">
                  <c:v>9.39652973481898</c:v>
                </c:pt>
                <c:pt idx="11">
                  <c:v>9.0670262737431031</c:v>
                </c:pt>
                <c:pt idx="12">
                  <c:v>8.2943974684617352</c:v>
                </c:pt>
                <c:pt idx="13">
                  <c:v>6.82867517608973</c:v>
                </c:pt>
                <c:pt idx="14">
                  <c:v>5.8856135461139436</c:v>
                </c:pt>
                <c:pt idx="15">
                  <c:v>5.5901966499769502</c:v>
                </c:pt>
                <c:pt idx="16">
                  <c:v>4.9311897278251964</c:v>
                </c:pt>
                <c:pt idx="17">
                  <c:v>4.0790256043530997</c:v>
                </c:pt>
                <c:pt idx="18">
                  <c:v>4.1131121692919841</c:v>
                </c:pt>
                <c:pt idx="19">
                  <c:v>4.181285299169752</c:v>
                </c:pt>
                <c:pt idx="20">
                  <c:v>4.7834812797566997</c:v>
                </c:pt>
                <c:pt idx="21">
                  <c:v>5.7492672863584069</c:v>
                </c:pt>
                <c:pt idx="22">
                  <c:v>5.851526981175061</c:v>
                </c:pt>
                <c:pt idx="23">
                  <c:v>5.2493310005881115</c:v>
                </c:pt>
                <c:pt idx="24">
                  <c:v>4.124474357604945</c:v>
                </c:pt>
                <c:pt idx="25">
                  <c:v>3.3063967990717327</c:v>
                </c:pt>
                <c:pt idx="26">
                  <c:v>3.0905152211254689</c:v>
                </c:pt>
                <c:pt idx="27">
                  <c:v>2.4087839223477916</c:v>
                </c:pt>
                <c:pt idx="28">
                  <c:v>1.7952257534478824</c:v>
                </c:pt>
                <c:pt idx="29">
                  <c:v>1.9883829547682248</c:v>
                </c:pt>
                <c:pt idx="30">
                  <c:v>2.0451938963330312</c:v>
                </c:pt>
                <c:pt idx="31">
                  <c:v>3.2495858575069265</c:v>
                </c:pt>
                <c:pt idx="32">
                  <c:v>4.4880643836197063</c:v>
                </c:pt>
                <c:pt idx="33">
                  <c:v>5.5561100850380658</c:v>
                </c:pt>
                <c:pt idx="34">
                  <c:v>5.4992991434732597</c:v>
                </c:pt>
                <c:pt idx="35">
                  <c:v>6.6582423513953115</c:v>
                </c:pt>
                <c:pt idx="36">
                  <c:v>8.2603109035228499</c:v>
                </c:pt>
                <c:pt idx="37">
                  <c:v>6.9991080007841502</c:v>
                </c:pt>
                <c:pt idx="38">
                  <c:v>6.9650214358452658</c:v>
                </c:pt>
                <c:pt idx="39">
                  <c:v>8.1239646437673159</c:v>
                </c:pt>
                <c:pt idx="40">
                  <c:v>10.123709786848501</c:v>
                </c:pt>
                <c:pt idx="41">
                  <c:v>11.703053962350122</c:v>
                </c:pt>
                <c:pt idx="42">
                  <c:v>14.214097579514565</c:v>
                </c:pt>
                <c:pt idx="43">
                  <c:v>17.531856566899258</c:v>
                </c:pt>
                <c:pt idx="44">
                  <c:v>25.951238106803565</c:v>
                </c:pt>
                <c:pt idx="45">
                  <c:v>35.279594711744778</c:v>
                </c:pt>
                <c:pt idx="46">
                  <c:v>31.38236412039906</c:v>
                </c:pt>
                <c:pt idx="47">
                  <c:v>43.210402154191748</c:v>
                </c:pt>
                <c:pt idx="48">
                  <c:v>32.109544172428578</c:v>
                </c:pt>
                <c:pt idx="49">
                  <c:v>30.939238776193566</c:v>
                </c:pt>
                <c:pt idx="50">
                  <c:v>48.16431625864287</c:v>
                </c:pt>
                <c:pt idx="51">
                  <c:v>36.586246367735328</c:v>
                </c:pt>
                <c:pt idx="52">
                  <c:v>33.143503308908059</c:v>
                </c:pt>
                <c:pt idx="53">
                  <c:v>38.131503978298063</c:v>
                </c:pt>
                <c:pt idx="54">
                  <c:v>58.322112610430246</c:v>
                </c:pt>
                <c:pt idx="55">
                  <c:v>79.580766943980819</c:v>
                </c:pt>
                <c:pt idx="56">
                  <c:v>67.150532929601169</c:v>
                </c:pt>
                <c:pt idx="57">
                  <c:v>44.33525879717493</c:v>
                </c:pt>
                <c:pt idx="58">
                  <c:v>40.585736653897698</c:v>
                </c:pt>
                <c:pt idx="59">
                  <c:v>40.949326679912453</c:v>
                </c:pt>
                <c:pt idx="60">
                  <c:v>22.928896015555864</c:v>
                </c:pt>
                <c:pt idx="61">
                  <c:v>18.79305946963796</c:v>
                </c:pt>
                <c:pt idx="62">
                  <c:v>15.69118206019953</c:v>
                </c:pt>
                <c:pt idx="63">
                  <c:v>15.361678599123652</c:v>
                </c:pt>
                <c:pt idx="64">
                  <c:v>11.487172384403856</c:v>
                </c:pt>
                <c:pt idx="65">
                  <c:v>11.759864903914925</c:v>
                </c:pt>
                <c:pt idx="66">
                  <c:v>10.850889838878023</c:v>
                </c:pt>
                <c:pt idx="67">
                  <c:v>12.714288722203673</c:v>
                </c:pt>
                <c:pt idx="68">
                  <c:v>13.12332750147028</c:v>
                </c:pt>
                <c:pt idx="69">
                  <c:v>16.554708371984585</c:v>
                </c:pt>
                <c:pt idx="70">
                  <c:v>16.463810865480898</c:v>
                </c:pt>
                <c:pt idx="71">
                  <c:v>13.077878748218437</c:v>
                </c:pt>
                <c:pt idx="72">
                  <c:v>10.862252027190985</c:v>
                </c:pt>
                <c:pt idx="73">
                  <c:v>9.260183475063446</c:v>
                </c:pt>
                <c:pt idx="74">
                  <c:v>9.7146710075818969</c:v>
                </c:pt>
                <c:pt idx="75">
                  <c:v>10.328229176481805</c:v>
                </c:pt>
                <c:pt idx="76">
                  <c:v>11.498534572716814</c:v>
                </c:pt>
                <c:pt idx="77">
                  <c:v>12.35069869618891</c:v>
                </c:pt>
                <c:pt idx="78">
                  <c:v>11.759864903914925</c:v>
                </c:pt>
                <c:pt idx="79">
                  <c:v>14.055026943133106</c:v>
                </c:pt>
                <c:pt idx="80">
                  <c:v>13.384657832668388</c:v>
                </c:pt>
                <c:pt idx="81">
                  <c:v>14.679947300345976</c:v>
                </c:pt>
                <c:pt idx="82">
                  <c:v>15.827528319955066</c:v>
                </c:pt>
                <c:pt idx="83">
                  <c:v>15.747993001764335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03-4230-8473-73461C0FEFD4}"/>
            </c:ext>
          </c:extLst>
        </c:ser>
        <c:ser>
          <c:idx val="3"/>
          <c:order val="3"/>
          <c:tx>
            <c:v>LLPS</c:v>
          </c:tx>
          <c:spPr>
            <a:ln w="19050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xVal>
            <c:numRef>
              <c:f>'Steam Prices Calculations'!$A$15:$A$98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'Steam Prices Calculations'!$G$15:$G$98</c:f>
              <c:numCache>
                <c:formatCode>0.00</c:formatCode>
                <c:ptCount val="84"/>
                <c:pt idx="0">
                  <c:v>8.442866377952754</c:v>
                </c:pt>
                <c:pt idx="1">
                  <c:v>7.6722873037745272</c:v>
                </c:pt>
                <c:pt idx="2">
                  <c:v>7.8509723064825225</c:v>
                </c:pt>
                <c:pt idx="3">
                  <c:v>8.7220616946839957</c:v>
                </c:pt>
                <c:pt idx="4">
                  <c:v>8.0296573091905188</c:v>
                </c:pt>
                <c:pt idx="5">
                  <c:v>8.0296573091905188</c:v>
                </c:pt>
                <c:pt idx="6">
                  <c:v>8.0966641852060146</c:v>
                </c:pt>
                <c:pt idx="7">
                  <c:v>8.9119145100612407</c:v>
                </c:pt>
                <c:pt idx="8">
                  <c:v>9.1576063887847337</c:v>
                </c:pt>
                <c:pt idx="9">
                  <c:v>9.8165073362704636</c:v>
                </c:pt>
                <c:pt idx="10">
                  <c:v>9.2357810774694826</c:v>
                </c:pt>
                <c:pt idx="11">
                  <c:v>8.9119145100612407</c:v>
                </c:pt>
                <c:pt idx="12">
                  <c:v>8.1525032485522626</c:v>
                </c:pt>
                <c:pt idx="13">
                  <c:v>6.7118554142190554</c:v>
                </c:pt>
                <c:pt idx="14">
                  <c:v>5.7849269626713316</c:v>
                </c:pt>
                <c:pt idx="15">
                  <c:v>5.4945638332708402</c:v>
                </c:pt>
                <c:pt idx="16">
                  <c:v>4.846830698454359</c:v>
                </c:pt>
                <c:pt idx="17">
                  <c:v>4.0092447482606328</c:v>
                </c:pt>
                <c:pt idx="18">
                  <c:v>4.0427481862683834</c:v>
                </c:pt>
                <c:pt idx="19">
                  <c:v>4.109755062283881</c:v>
                </c:pt>
                <c:pt idx="20">
                  <c:v>4.7016491337541133</c:v>
                </c:pt>
                <c:pt idx="21">
                  <c:v>5.6509132106403346</c:v>
                </c:pt>
                <c:pt idx="22">
                  <c:v>5.7514235246635836</c:v>
                </c:pt>
                <c:pt idx="23">
                  <c:v>5.1595294531933495</c:v>
                </c:pt>
                <c:pt idx="24">
                  <c:v>4.0539159989376321</c:v>
                </c:pt>
                <c:pt idx="25">
                  <c:v>3.2498334867516556</c:v>
                </c:pt>
                <c:pt idx="26">
                  <c:v>3.0376450460359123</c:v>
                </c:pt>
                <c:pt idx="27">
                  <c:v>2.3675762858809315</c:v>
                </c:pt>
                <c:pt idx="28">
                  <c:v>1.7645144017414487</c:v>
                </c:pt>
                <c:pt idx="29">
                  <c:v>1.9543672171186937</c:v>
                </c:pt>
                <c:pt idx="30">
                  <c:v>2.0102062804649421</c:v>
                </c:pt>
                <c:pt idx="31">
                  <c:v>3.1939944234054072</c:v>
                </c:pt>
                <c:pt idx="32">
                  <c:v>4.4112860043536219</c:v>
                </c:pt>
                <c:pt idx="33">
                  <c:v>5.4610603952630905</c:v>
                </c:pt>
                <c:pt idx="34">
                  <c:v>5.4052213319168425</c:v>
                </c:pt>
                <c:pt idx="35">
                  <c:v>6.5443382241803105</c:v>
                </c:pt>
                <c:pt idx="36">
                  <c:v>8.1189998105445138</c:v>
                </c:pt>
                <c:pt idx="37">
                  <c:v>6.8793726042578012</c:v>
                </c:pt>
                <c:pt idx="38">
                  <c:v>6.8458691662500515</c:v>
                </c:pt>
                <c:pt idx="39">
                  <c:v>7.9849860585135168</c:v>
                </c:pt>
                <c:pt idx="40">
                  <c:v>9.9505210883014605</c:v>
                </c:pt>
                <c:pt idx="41">
                  <c:v>11.502847049327167</c:v>
                </c:pt>
                <c:pt idx="42">
                  <c:v>13.970933649231347</c:v>
                </c:pt>
                <c:pt idx="43">
                  <c:v>17.231934948652249</c:v>
                </c:pt>
                <c:pt idx="44">
                  <c:v>25.507284136566259</c:v>
                </c:pt>
                <c:pt idx="45">
                  <c:v>34.676058338020241</c:v>
                </c:pt>
                <c:pt idx="46">
                  <c:v>30.845498592467607</c:v>
                </c:pt>
                <c:pt idx="47">
                  <c:v>42.471191581156511</c:v>
                </c:pt>
                <c:pt idx="48">
                  <c:v>31.560238603299585</c:v>
                </c:pt>
                <c:pt idx="49">
                  <c:v>30.409953898366865</c:v>
                </c:pt>
                <c:pt idx="50">
                  <c:v>47.340357904949371</c:v>
                </c:pt>
                <c:pt idx="51">
                  <c:v>35.960356794983959</c:v>
                </c:pt>
                <c:pt idx="52">
                  <c:v>32.576509556201309</c:v>
                </c:pt>
                <c:pt idx="53">
                  <c:v>37.479179318001911</c:v>
                </c:pt>
                <c:pt idx="54">
                  <c:v>57.324382431258577</c:v>
                </c:pt>
                <c:pt idx="55">
                  <c:v>78.219359935424734</c:v>
                </c:pt>
                <c:pt idx="56">
                  <c:v>66.001772875265573</c:v>
                </c:pt>
                <c:pt idx="57">
                  <c:v>43.576805035412242</c:v>
                </c:pt>
                <c:pt idx="58">
                  <c:v>39.891426854559839</c:v>
                </c:pt>
                <c:pt idx="59">
                  <c:v>40.248796859975826</c:v>
                </c:pt>
                <c:pt idx="60">
                  <c:v>22.536645966545844</c:v>
                </c:pt>
                <c:pt idx="61">
                  <c:v>18.471562154938965</c:v>
                </c:pt>
                <c:pt idx="62">
                  <c:v>15.422749296233803</c:v>
                </c:pt>
                <c:pt idx="63">
                  <c:v>15.098882728825561</c:v>
                </c:pt>
                <c:pt idx="64">
                  <c:v>11.290658608611423</c:v>
                </c:pt>
                <c:pt idx="65">
                  <c:v>11.558686112673414</c:v>
                </c:pt>
                <c:pt idx="66">
                  <c:v>10.66526109913344</c:v>
                </c:pt>
                <c:pt idx="67">
                  <c:v>12.496782376890387</c:v>
                </c:pt>
                <c:pt idx="68">
                  <c:v>12.898823632983376</c:v>
                </c:pt>
                <c:pt idx="69">
                  <c:v>16.271503059096776</c:v>
                </c:pt>
                <c:pt idx="70">
                  <c:v>16.18216055774278</c:v>
                </c:pt>
                <c:pt idx="71">
                  <c:v>12.854152382306379</c:v>
                </c:pt>
                <c:pt idx="72">
                  <c:v>10.67642891180269</c:v>
                </c:pt>
                <c:pt idx="73">
                  <c:v>9.1017673254384874</c:v>
                </c:pt>
                <c:pt idx="74">
                  <c:v>9.5484798322084732</c:v>
                </c:pt>
                <c:pt idx="75">
                  <c:v>10.151541716347955</c:v>
                </c:pt>
                <c:pt idx="76">
                  <c:v>11.301826421280669</c:v>
                </c:pt>
                <c:pt idx="77">
                  <c:v>12.139412371474394</c:v>
                </c:pt>
                <c:pt idx="78">
                  <c:v>11.558686112673414</c:v>
                </c:pt>
                <c:pt idx="79">
                  <c:v>13.814584271861849</c:v>
                </c:pt>
                <c:pt idx="80">
                  <c:v>13.155683324376117</c:v>
                </c:pt>
                <c:pt idx="81">
                  <c:v>14.428813968670582</c:v>
                </c:pt>
                <c:pt idx="82">
                  <c:v>15.5567630482648</c:v>
                </c:pt>
                <c:pt idx="83">
                  <c:v>15.47858835958005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03-4230-8473-73461C0F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11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8559134073601E-2"/>
          <c:y val="2.4392881525647444E-2"/>
          <c:w val="0.87955296836755936"/>
          <c:h val="0.8439306358381503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Elec!$A$17:$A$84</c:f>
              <c:numCache>
                <c:formatCode>mmm\-yy</c:formatCode>
                <c:ptCount val="6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</c:numCache>
            </c:numRef>
          </c:xVal>
          <c:yVal>
            <c:numRef>
              <c:f>Elec!$B$17:$B$84</c:f>
              <c:numCache>
                <c:formatCode>0.00</c:formatCode>
                <c:ptCount val="68"/>
                <c:pt idx="0">
                  <c:v>66.461999999999989</c:v>
                </c:pt>
                <c:pt idx="1">
                  <c:v>52.9405</c:v>
                </c:pt>
                <c:pt idx="2">
                  <c:v>45.764999999999993</c:v>
                </c:pt>
                <c:pt idx="3">
                  <c:v>45.740800000000007</c:v>
                </c:pt>
                <c:pt idx="4">
                  <c:v>45.012799999999999</c:v>
                </c:pt>
                <c:pt idx="5">
                  <c:v>40.939899999999994</c:v>
                </c:pt>
                <c:pt idx="6">
                  <c:v>44.374400000000001</c:v>
                </c:pt>
                <c:pt idx="7">
                  <c:v>41.525100000000002</c:v>
                </c:pt>
                <c:pt idx="8">
                  <c:v>40.238</c:v>
                </c:pt>
                <c:pt idx="9">
                  <c:v>42.135600000000004</c:v>
                </c:pt>
                <c:pt idx="10">
                  <c:v>46.981000000000002</c:v>
                </c:pt>
                <c:pt idx="11">
                  <c:v>41.514000000000003</c:v>
                </c:pt>
                <c:pt idx="12">
                  <c:v>41.1477</c:v>
                </c:pt>
                <c:pt idx="13">
                  <c:v>32.505000000000003</c:v>
                </c:pt>
                <c:pt idx="14">
                  <c:v>27.225000000000001</c:v>
                </c:pt>
                <c:pt idx="15">
                  <c:v>20.677299999999999</c:v>
                </c:pt>
                <c:pt idx="16">
                  <c:v>19.260300000000004</c:v>
                </c:pt>
                <c:pt idx="17">
                  <c:v>29.411200000000004</c:v>
                </c:pt>
                <c:pt idx="18">
                  <c:v>33.458999999999996</c:v>
                </c:pt>
                <c:pt idx="19">
                  <c:v>40.202599999999997</c:v>
                </c:pt>
                <c:pt idx="20">
                  <c:v>50.268000000000001</c:v>
                </c:pt>
                <c:pt idx="21">
                  <c:v>43.7898</c:v>
                </c:pt>
                <c:pt idx="22">
                  <c:v>48.438999999999993</c:v>
                </c:pt>
                <c:pt idx="23">
                  <c:v>58.901600000000002</c:v>
                </c:pt>
                <c:pt idx="24">
                  <c:v>64.196399999999997</c:v>
                </c:pt>
                <c:pt idx="25">
                  <c:v>59.568299999999994</c:v>
                </c:pt>
                <c:pt idx="26">
                  <c:v>58.179099999999998</c:v>
                </c:pt>
                <c:pt idx="27">
                  <c:v>63.443999999999996</c:v>
                </c:pt>
                <c:pt idx="28">
                  <c:v>67.905199999999994</c:v>
                </c:pt>
                <c:pt idx="29">
                  <c:v>91.811999999999998</c:v>
                </c:pt>
                <c:pt idx="30">
                  <c:v>97.444399999999987</c:v>
                </c:pt>
                <c:pt idx="31">
                  <c:v>102.25879999999999</c:v>
                </c:pt>
                <c:pt idx="32">
                  <c:v>160.94019999999998</c:v>
                </c:pt>
                <c:pt idx="33">
                  <c:v>190.0196</c:v>
                </c:pt>
                <c:pt idx="34">
                  <c:v>212.38200000000001</c:v>
                </c:pt>
                <c:pt idx="35">
                  <c:v>268.714</c:v>
                </c:pt>
                <c:pt idx="36">
                  <c:v>213.84119999999999</c:v>
                </c:pt>
                <c:pt idx="37">
                  <c:v>190.16769999999997</c:v>
                </c:pt>
                <c:pt idx="38">
                  <c:v>287.13299999999998</c:v>
                </c:pt>
                <c:pt idx="39">
                  <c:v>210.93480000000002</c:v>
                </c:pt>
                <c:pt idx="40">
                  <c:v>192.28400000000002</c:v>
                </c:pt>
                <c:pt idx="41">
                  <c:v>222.67420000000001</c:v>
                </c:pt>
                <c:pt idx="42">
                  <c:v>312.99720000000002</c:v>
                </c:pt>
                <c:pt idx="43">
                  <c:v>451.72250000000003</c:v>
                </c:pt>
                <c:pt idx="44">
                  <c:v>337.48109999999997</c:v>
                </c:pt>
                <c:pt idx="45">
                  <c:v>152.3998</c:v>
                </c:pt>
                <c:pt idx="46">
                  <c:v>183.06959999999998</c:v>
                </c:pt>
                <c:pt idx="47">
                  <c:v>273.99940000000004</c:v>
                </c:pt>
                <c:pt idx="48">
                  <c:v>136.22040000000001</c:v>
                </c:pt>
                <c:pt idx="49">
                  <c:v>144.3537</c:v>
                </c:pt>
                <c:pt idx="50">
                  <c:v>111.7508</c:v>
                </c:pt>
                <c:pt idx="51">
                  <c:v>108.581</c:v>
                </c:pt>
                <c:pt idx="52">
                  <c:v>84.889200000000002</c:v>
                </c:pt>
                <c:pt idx="53">
                  <c:v>101.24400000000001</c:v>
                </c:pt>
                <c:pt idx="54">
                  <c:v>78.142099999999999</c:v>
                </c:pt>
                <c:pt idx="55">
                  <c:v>99.647800000000004</c:v>
                </c:pt>
                <c:pt idx="56">
                  <c:v>105.60900000000001</c:v>
                </c:pt>
                <c:pt idx="57">
                  <c:v>95.601399999999998</c:v>
                </c:pt>
                <c:pt idx="58">
                  <c:v>102.0168</c:v>
                </c:pt>
                <c:pt idx="59">
                  <c:v>79.613600000000019</c:v>
                </c:pt>
                <c:pt idx="60">
                  <c:v>85.488700000000009</c:v>
                </c:pt>
                <c:pt idx="61">
                  <c:v>69.022800000000004</c:v>
                </c:pt>
                <c:pt idx="62">
                  <c:v>69.08420000000001</c:v>
                </c:pt>
                <c:pt idx="63">
                  <c:v>62.509400000000007</c:v>
                </c:pt>
                <c:pt idx="64">
                  <c:v>70.956000000000003</c:v>
                </c:pt>
                <c:pt idx="65">
                  <c:v>72.824200000000005</c:v>
                </c:pt>
                <c:pt idx="66">
                  <c:v>70.243200000000016</c:v>
                </c:pt>
                <c:pt idx="67">
                  <c:v>84.81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F-48CB-8A8C-D80537B75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48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Elec!#REF!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3-4FD0-945B-449E402D0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6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EO!$A$7:$A$88</c:f>
              <c:numCache>
                <c:formatCode>mmm\-yy</c:formatCode>
                <c:ptCount val="82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  <c:pt idx="58">
                  <c:v>44927</c:v>
                </c:pt>
                <c:pt idx="59">
                  <c:v>44958</c:v>
                </c:pt>
                <c:pt idx="60">
                  <c:v>44986</c:v>
                </c:pt>
                <c:pt idx="61">
                  <c:v>45017</c:v>
                </c:pt>
                <c:pt idx="62">
                  <c:v>45047</c:v>
                </c:pt>
                <c:pt idx="63">
                  <c:v>45078</c:v>
                </c:pt>
                <c:pt idx="64">
                  <c:v>45108</c:v>
                </c:pt>
                <c:pt idx="65">
                  <c:v>45139</c:v>
                </c:pt>
                <c:pt idx="66">
                  <c:v>45170</c:v>
                </c:pt>
                <c:pt idx="67">
                  <c:v>45200</c:v>
                </c:pt>
                <c:pt idx="68">
                  <c:v>45231</c:v>
                </c:pt>
                <c:pt idx="69">
                  <c:v>45261</c:v>
                </c:pt>
                <c:pt idx="70">
                  <c:v>45292</c:v>
                </c:pt>
                <c:pt idx="71">
                  <c:v>45323</c:v>
                </c:pt>
                <c:pt idx="72">
                  <c:v>45352</c:v>
                </c:pt>
                <c:pt idx="73">
                  <c:v>45383</c:v>
                </c:pt>
                <c:pt idx="74">
                  <c:v>45413</c:v>
                </c:pt>
                <c:pt idx="75">
                  <c:v>45444</c:v>
                </c:pt>
                <c:pt idx="76">
                  <c:v>45474</c:v>
                </c:pt>
                <c:pt idx="77">
                  <c:v>45505</c:v>
                </c:pt>
                <c:pt idx="78">
                  <c:v>45536</c:v>
                </c:pt>
                <c:pt idx="79">
                  <c:v>45566</c:v>
                </c:pt>
                <c:pt idx="80">
                  <c:v>45597</c:v>
                </c:pt>
                <c:pt idx="81">
                  <c:v>45627</c:v>
                </c:pt>
              </c:numCache>
            </c:numRef>
          </c:xVal>
          <c:yVal>
            <c:numRef>
              <c:f>EO!$B$7:$B$88</c:f>
              <c:numCache>
                <c:formatCode>0.00</c:formatCode>
                <c:ptCount val="82"/>
                <c:pt idx="0">
                  <c:v>1.2</c:v>
                </c:pt>
                <c:pt idx="1">
                  <c:v>1.26</c:v>
                </c:pt>
                <c:pt idx="2">
                  <c:v>1.26</c:v>
                </c:pt>
                <c:pt idx="3">
                  <c:v>1.27</c:v>
                </c:pt>
                <c:pt idx="4">
                  <c:v>1.28</c:v>
                </c:pt>
                <c:pt idx="5">
                  <c:v>1.27</c:v>
                </c:pt>
                <c:pt idx="6">
                  <c:v>1.29</c:v>
                </c:pt>
                <c:pt idx="7">
                  <c:v>1.26</c:v>
                </c:pt>
                <c:pt idx="8">
                  <c:v>1.22</c:v>
                </c:pt>
                <c:pt idx="9">
                  <c:v>1.21</c:v>
                </c:pt>
                <c:pt idx="10">
                  <c:v>1.2</c:v>
                </c:pt>
                <c:pt idx="11">
                  <c:v>1.19</c:v>
                </c:pt>
                <c:pt idx="12">
                  <c:v>1.19</c:v>
                </c:pt>
                <c:pt idx="13">
                  <c:v>1.19</c:v>
                </c:pt>
                <c:pt idx="14">
                  <c:v>1.2</c:v>
                </c:pt>
                <c:pt idx="15">
                  <c:v>1.2</c:v>
                </c:pt>
                <c:pt idx="16">
                  <c:v>1.18</c:v>
                </c:pt>
                <c:pt idx="17">
                  <c:v>1.1599999999999999</c:v>
                </c:pt>
                <c:pt idx="18">
                  <c:v>1.1299999999999999</c:v>
                </c:pt>
                <c:pt idx="19">
                  <c:v>1.1299999999999999</c:v>
                </c:pt>
                <c:pt idx="20">
                  <c:v>1.1299999999999999</c:v>
                </c:pt>
                <c:pt idx="21">
                  <c:v>1.1100000000000001</c:v>
                </c:pt>
                <c:pt idx="22">
                  <c:v>1.0900000000000001</c:v>
                </c:pt>
                <c:pt idx="23">
                  <c:v>1.04</c:v>
                </c:pt>
                <c:pt idx="24">
                  <c:v>1</c:v>
                </c:pt>
                <c:pt idx="25">
                  <c:v>0.94</c:v>
                </c:pt>
                <c:pt idx="26">
                  <c:v>0.9</c:v>
                </c:pt>
                <c:pt idx="27">
                  <c:v>0.92</c:v>
                </c:pt>
                <c:pt idx="28">
                  <c:v>0.93</c:v>
                </c:pt>
                <c:pt idx="29">
                  <c:v>0.97</c:v>
                </c:pt>
                <c:pt idx="30">
                  <c:v>0.98</c:v>
                </c:pt>
                <c:pt idx="31">
                  <c:v>0.98</c:v>
                </c:pt>
                <c:pt idx="32">
                  <c:v>1</c:v>
                </c:pt>
                <c:pt idx="33">
                  <c:v>1.05</c:v>
                </c:pt>
                <c:pt idx="34">
                  <c:v>1.08</c:v>
                </c:pt>
                <c:pt idx="35">
                  <c:v>1.1299999999999999</c:v>
                </c:pt>
                <c:pt idx="36">
                  <c:v>1.21</c:v>
                </c:pt>
                <c:pt idx="37">
                  <c:v>1.28</c:v>
                </c:pt>
                <c:pt idx="38">
                  <c:v>1.42</c:v>
                </c:pt>
                <c:pt idx="39">
                  <c:v>1.48</c:v>
                </c:pt>
                <c:pt idx="40">
                  <c:v>1.47</c:v>
                </c:pt>
                <c:pt idx="41">
                  <c:v>1.47</c:v>
                </c:pt>
                <c:pt idx="42">
                  <c:v>1.48</c:v>
                </c:pt>
                <c:pt idx="43">
                  <c:v>1.47</c:v>
                </c:pt>
                <c:pt idx="44">
                  <c:v>1.47</c:v>
                </c:pt>
                <c:pt idx="45">
                  <c:v>1.48</c:v>
                </c:pt>
                <c:pt idx="46">
                  <c:v>1.5</c:v>
                </c:pt>
                <c:pt idx="47">
                  <c:v>1.54</c:v>
                </c:pt>
                <c:pt idx="48">
                  <c:v>1.55</c:v>
                </c:pt>
                <c:pt idx="49">
                  <c:v>1.63</c:v>
                </c:pt>
                <c:pt idx="50">
                  <c:v>1.6</c:v>
                </c:pt>
                <c:pt idx="51">
                  <c:v>1.6</c:v>
                </c:pt>
                <c:pt idx="52">
                  <c:v>1.51</c:v>
                </c:pt>
                <c:pt idx="53">
                  <c:v>1.43</c:v>
                </c:pt>
                <c:pt idx="54">
                  <c:v>1.34</c:v>
                </c:pt>
                <c:pt idx="55">
                  <c:v>1.3</c:v>
                </c:pt>
                <c:pt idx="56">
                  <c:v>1.32</c:v>
                </c:pt>
                <c:pt idx="57">
                  <c:v>1.35</c:v>
                </c:pt>
                <c:pt idx="58">
                  <c:v>1.36</c:v>
                </c:pt>
                <c:pt idx="59">
                  <c:v>1.37</c:v>
                </c:pt>
                <c:pt idx="60">
                  <c:v>1.36</c:v>
                </c:pt>
                <c:pt idx="61">
                  <c:v>1.39</c:v>
                </c:pt>
                <c:pt idx="62">
                  <c:v>1.35</c:v>
                </c:pt>
                <c:pt idx="63">
                  <c:v>1.3</c:v>
                </c:pt>
                <c:pt idx="64">
                  <c:v>1.3</c:v>
                </c:pt>
                <c:pt idx="65">
                  <c:v>1.29</c:v>
                </c:pt>
                <c:pt idx="66">
                  <c:v>1.27</c:v>
                </c:pt>
                <c:pt idx="67">
                  <c:v>1.29</c:v>
                </c:pt>
                <c:pt idx="68">
                  <c:v>1.31</c:v>
                </c:pt>
                <c:pt idx="69">
                  <c:v>1.32</c:v>
                </c:pt>
                <c:pt idx="70">
                  <c:v>1.3</c:v>
                </c:pt>
                <c:pt idx="71">
                  <c:v>1.29</c:v>
                </c:pt>
                <c:pt idx="72">
                  <c:v>1.31</c:v>
                </c:pt>
                <c:pt idx="73">
                  <c:v>1.32</c:v>
                </c:pt>
                <c:pt idx="74">
                  <c:v>1.35</c:v>
                </c:pt>
                <c:pt idx="75">
                  <c:v>1.34</c:v>
                </c:pt>
                <c:pt idx="76">
                  <c:v>1.34</c:v>
                </c:pt>
                <c:pt idx="77">
                  <c:v>1.37</c:v>
                </c:pt>
                <c:pt idx="78">
                  <c:v>1.39</c:v>
                </c:pt>
                <c:pt idx="79">
                  <c:v>1.37</c:v>
                </c:pt>
                <c:pt idx="80">
                  <c:v>1.35</c:v>
                </c:pt>
                <c:pt idx="81">
                  <c:v>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FD-4158-BEC5-E62367983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'C2E'!$A$5:$A$88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'C2E'!$B$5:$B$88</c:f>
              <c:numCache>
                <c:formatCode>0.00</c:formatCode>
                <c:ptCount val="84"/>
                <c:pt idx="0">
                  <c:v>0.94</c:v>
                </c:pt>
                <c:pt idx="1">
                  <c:v>0.97</c:v>
                </c:pt>
                <c:pt idx="2">
                  <c:v>1</c:v>
                </c:pt>
                <c:pt idx="3">
                  <c:v>1.02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1.1100000000000001</c:v>
                </c:pt>
                <c:pt idx="9">
                  <c:v>1.1100000000000001</c:v>
                </c:pt>
                <c:pt idx="10">
                  <c:v>1.1000000000000001</c:v>
                </c:pt>
                <c:pt idx="11">
                  <c:v>1.0900000000000001</c:v>
                </c:pt>
                <c:pt idx="12">
                  <c:v>1.0900000000000001</c:v>
                </c:pt>
                <c:pt idx="13">
                  <c:v>1.07</c:v>
                </c:pt>
                <c:pt idx="14">
                  <c:v>1.08</c:v>
                </c:pt>
                <c:pt idx="15">
                  <c:v>1.08</c:v>
                </c:pt>
                <c:pt idx="16">
                  <c:v>1.0900000000000001</c:v>
                </c:pt>
                <c:pt idx="17">
                  <c:v>1.1000000000000001</c:v>
                </c:pt>
                <c:pt idx="18">
                  <c:v>1.08</c:v>
                </c:pt>
                <c:pt idx="19">
                  <c:v>1.05</c:v>
                </c:pt>
                <c:pt idx="20">
                  <c:v>1.01</c:v>
                </c:pt>
                <c:pt idx="21">
                  <c:v>1.01</c:v>
                </c:pt>
                <c:pt idx="22">
                  <c:v>0.99</c:v>
                </c:pt>
                <c:pt idx="23">
                  <c:v>0.97</c:v>
                </c:pt>
                <c:pt idx="24">
                  <c:v>0.95</c:v>
                </c:pt>
                <c:pt idx="25">
                  <c:v>0.89</c:v>
                </c:pt>
                <c:pt idx="26">
                  <c:v>0.83</c:v>
                </c:pt>
                <c:pt idx="27">
                  <c:v>0.73</c:v>
                </c:pt>
                <c:pt idx="28">
                  <c:v>0.7</c:v>
                </c:pt>
                <c:pt idx="29">
                  <c:v>0.7</c:v>
                </c:pt>
                <c:pt idx="30">
                  <c:v>0.74</c:v>
                </c:pt>
                <c:pt idx="31">
                  <c:v>0.8</c:v>
                </c:pt>
                <c:pt idx="32">
                  <c:v>0.84</c:v>
                </c:pt>
                <c:pt idx="33">
                  <c:v>0.86</c:v>
                </c:pt>
                <c:pt idx="34">
                  <c:v>0.89</c:v>
                </c:pt>
                <c:pt idx="35">
                  <c:v>0.95</c:v>
                </c:pt>
                <c:pt idx="36">
                  <c:v>1.01</c:v>
                </c:pt>
                <c:pt idx="37">
                  <c:v>1.07</c:v>
                </c:pt>
                <c:pt idx="38">
                  <c:v>1.1200000000000001</c:v>
                </c:pt>
                <c:pt idx="39">
                  <c:v>1.18</c:v>
                </c:pt>
                <c:pt idx="40">
                  <c:v>1.25</c:v>
                </c:pt>
                <c:pt idx="41">
                  <c:v>1.27</c:v>
                </c:pt>
                <c:pt idx="42">
                  <c:v>1.24</c:v>
                </c:pt>
                <c:pt idx="43">
                  <c:v>1.27</c:v>
                </c:pt>
                <c:pt idx="44">
                  <c:v>1.29</c:v>
                </c:pt>
                <c:pt idx="45">
                  <c:v>1.31</c:v>
                </c:pt>
                <c:pt idx="46">
                  <c:v>1.31</c:v>
                </c:pt>
                <c:pt idx="47">
                  <c:v>1.34</c:v>
                </c:pt>
                <c:pt idx="48">
                  <c:v>1.39</c:v>
                </c:pt>
                <c:pt idx="49">
                  <c:v>1.46</c:v>
                </c:pt>
                <c:pt idx="50">
                  <c:v>1.47</c:v>
                </c:pt>
                <c:pt idx="51">
                  <c:v>1.51</c:v>
                </c:pt>
                <c:pt idx="52">
                  <c:v>1.49</c:v>
                </c:pt>
                <c:pt idx="53">
                  <c:v>1.48</c:v>
                </c:pt>
                <c:pt idx="54">
                  <c:v>1.39</c:v>
                </c:pt>
                <c:pt idx="55">
                  <c:v>1.33</c:v>
                </c:pt>
                <c:pt idx="56">
                  <c:v>1.26</c:v>
                </c:pt>
                <c:pt idx="57">
                  <c:v>1.22</c:v>
                </c:pt>
                <c:pt idx="58">
                  <c:v>1.22</c:v>
                </c:pt>
                <c:pt idx="59">
                  <c:v>1.26</c:v>
                </c:pt>
                <c:pt idx="60">
                  <c:v>1.25</c:v>
                </c:pt>
                <c:pt idx="61">
                  <c:v>1.25</c:v>
                </c:pt>
                <c:pt idx="62">
                  <c:v>1.23</c:v>
                </c:pt>
                <c:pt idx="63">
                  <c:v>1.26</c:v>
                </c:pt>
                <c:pt idx="64">
                  <c:v>1.22</c:v>
                </c:pt>
                <c:pt idx="65">
                  <c:v>1.18</c:v>
                </c:pt>
                <c:pt idx="66">
                  <c:v>1.19</c:v>
                </c:pt>
                <c:pt idx="67">
                  <c:v>1.1499999999999999</c:v>
                </c:pt>
                <c:pt idx="68">
                  <c:v>1.1200000000000001</c:v>
                </c:pt>
                <c:pt idx="69">
                  <c:v>1.0900000000000001</c:v>
                </c:pt>
                <c:pt idx="70">
                  <c:v>1.1399999999999999</c:v>
                </c:pt>
                <c:pt idx="71">
                  <c:v>1.1499999999999999</c:v>
                </c:pt>
                <c:pt idx="72">
                  <c:v>1.1399999999999999</c:v>
                </c:pt>
                <c:pt idx="73">
                  <c:v>1.1299999999999999</c:v>
                </c:pt>
                <c:pt idx="74">
                  <c:v>1.1599999999999999</c:v>
                </c:pt>
                <c:pt idx="75">
                  <c:v>1.1499999999999999</c:v>
                </c:pt>
                <c:pt idx="76">
                  <c:v>1.1499999999999999</c:v>
                </c:pt>
                <c:pt idx="77">
                  <c:v>1.17</c:v>
                </c:pt>
                <c:pt idx="78">
                  <c:v>1.19</c:v>
                </c:pt>
                <c:pt idx="79">
                  <c:v>1.22</c:v>
                </c:pt>
                <c:pt idx="80">
                  <c:v>1.24</c:v>
                </c:pt>
                <c:pt idx="81">
                  <c:v>1.23</c:v>
                </c:pt>
                <c:pt idx="82">
                  <c:v>1.22</c:v>
                </c:pt>
                <c:pt idx="8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C7-4CB4-8084-F5FFED089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C2EBZ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VGO!$A$5:$A$88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EB!$D$5:$D$88</c:f>
              <c:numCache>
                <c:formatCode>0.00</c:formatCode>
                <c:ptCount val="84"/>
                <c:pt idx="0">
                  <c:v>0.8649</c:v>
                </c:pt>
                <c:pt idx="1">
                  <c:v>0.88729999999999998</c:v>
                </c:pt>
                <c:pt idx="2">
                  <c:v>0.90239999999999998</c:v>
                </c:pt>
                <c:pt idx="3">
                  <c:v>0.92220000000000002</c:v>
                </c:pt>
                <c:pt idx="4">
                  <c:v>0.94199999999999995</c:v>
                </c:pt>
                <c:pt idx="5">
                  <c:v>0.9446</c:v>
                </c:pt>
                <c:pt idx="6">
                  <c:v>0.96179999999999999</c:v>
                </c:pt>
                <c:pt idx="7">
                  <c:v>0.96439999999999992</c:v>
                </c:pt>
                <c:pt idx="8">
                  <c:v>0.96019999999999994</c:v>
                </c:pt>
                <c:pt idx="9">
                  <c:v>0.90179999999999993</c:v>
                </c:pt>
                <c:pt idx="10">
                  <c:v>0.85540000000000005</c:v>
                </c:pt>
                <c:pt idx="11">
                  <c:v>0.80170000000000008</c:v>
                </c:pt>
                <c:pt idx="12">
                  <c:v>0.7652000000000001</c:v>
                </c:pt>
                <c:pt idx="13">
                  <c:v>0.76</c:v>
                </c:pt>
                <c:pt idx="14">
                  <c:v>0.79180000000000006</c:v>
                </c:pt>
                <c:pt idx="15">
                  <c:v>0.79910000000000003</c:v>
                </c:pt>
                <c:pt idx="16">
                  <c:v>0.83089999999999997</c:v>
                </c:pt>
                <c:pt idx="17">
                  <c:v>0.86270000000000002</c:v>
                </c:pt>
                <c:pt idx="18">
                  <c:v>0.8721000000000001</c:v>
                </c:pt>
                <c:pt idx="19">
                  <c:v>0.85699999999999998</c:v>
                </c:pt>
                <c:pt idx="20">
                  <c:v>0.8539000000000001</c:v>
                </c:pt>
                <c:pt idx="21">
                  <c:v>0.80279999999999996</c:v>
                </c:pt>
                <c:pt idx="22">
                  <c:v>0.77570000000000006</c:v>
                </c:pt>
                <c:pt idx="23">
                  <c:v>0.79239999999999999</c:v>
                </c:pt>
                <c:pt idx="24">
                  <c:v>0.79449999999999998</c:v>
                </c:pt>
                <c:pt idx="25">
                  <c:v>0.73509999999999998</c:v>
                </c:pt>
                <c:pt idx="26">
                  <c:v>0.61</c:v>
                </c:pt>
                <c:pt idx="27">
                  <c:v>0.47450000000000003</c:v>
                </c:pt>
                <c:pt idx="28">
                  <c:v>0.44479999999999997</c:v>
                </c:pt>
                <c:pt idx="29">
                  <c:v>0.45939999999999998</c:v>
                </c:pt>
                <c:pt idx="30">
                  <c:v>0.499</c:v>
                </c:pt>
                <c:pt idx="31">
                  <c:v>0.53649999999999998</c:v>
                </c:pt>
                <c:pt idx="32">
                  <c:v>0.55420000000000003</c:v>
                </c:pt>
                <c:pt idx="33">
                  <c:v>0.58129999999999993</c:v>
                </c:pt>
                <c:pt idx="34">
                  <c:v>0.63290000000000002</c:v>
                </c:pt>
                <c:pt idx="35">
                  <c:v>0.70689999999999997</c:v>
                </c:pt>
                <c:pt idx="36">
                  <c:v>0.78820000000000001</c:v>
                </c:pt>
                <c:pt idx="37">
                  <c:v>0.89869999999999994</c:v>
                </c:pt>
                <c:pt idx="38">
                  <c:v>1.0211999999999999</c:v>
                </c:pt>
                <c:pt idx="39">
                  <c:v>1.0952</c:v>
                </c:pt>
                <c:pt idx="40">
                  <c:v>1.2082999999999999</c:v>
                </c:pt>
                <c:pt idx="41">
                  <c:v>1.1916</c:v>
                </c:pt>
                <c:pt idx="42">
                  <c:v>1.1254</c:v>
                </c:pt>
                <c:pt idx="43">
                  <c:v>1.0893999999999999</c:v>
                </c:pt>
                <c:pt idx="44">
                  <c:v>1.08</c:v>
                </c:pt>
                <c:pt idx="45">
                  <c:v>1.0706</c:v>
                </c:pt>
                <c:pt idx="46">
                  <c:v>1.0779000000000001</c:v>
                </c:pt>
                <c:pt idx="47">
                  <c:v>1.1076000000000001</c:v>
                </c:pt>
                <c:pt idx="48">
                  <c:v>1.1644000000000001</c:v>
                </c:pt>
                <c:pt idx="49">
                  <c:v>1.2190999999999999</c:v>
                </c:pt>
                <c:pt idx="50">
                  <c:v>1.2363</c:v>
                </c:pt>
                <c:pt idx="51">
                  <c:v>1.2978000000000001</c:v>
                </c:pt>
                <c:pt idx="52">
                  <c:v>1.3583000000000001</c:v>
                </c:pt>
                <c:pt idx="53">
                  <c:v>1.3776000000000002</c:v>
                </c:pt>
                <c:pt idx="54">
                  <c:v>1.325</c:v>
                </c:pt>
                <c:pt idx="55">
                  <c:v>1.2291000000000001</c:v>
                </c:pt>
                <c:pt idx="56">
                  <c:v>1.1013999999999999</c:v>
                </c:pt>
                <c:pt idx="57">
                  <c:v>0.96689999999999987</c:v>
                </c:pt>
                <c:pt idx="58">
                  <c:v>0.96689999999999987</c:v>
                </c:pt>
                <c:pt idx="59">
                  <c:v>0.9919</c:v>
                </c:pt>
                <c:pt idx="60">
                  <c:v>1.0039</c:v>
                </c:pt>
                <c:pt idx="61">
                  <c:v>1.0111999999999999</c:v>
                </c:pt>
                <c:pt idx="62">
                  <c:v>1.0425</c:v>
                </c:pt>
                <c:pt idx="63">
                  <c:v>1.0794999999999999</c:v>
                </c:pt>
                <c:pt idx="64">
                  <c:v>1.0545</c:v>
                </c:pt>
                <c:pt idx="65">
                  <c:v>1.0222</c:v>
                </c:pt>
                <c:pt idx="66">
                  <c:v>1.0321</c:v>
                </c:pt>
                <c:pt idx="67">
                  <c:v>1.0144</c:v>
                </c:pt>
                <c:pt idx="68">
                  <c:v>0.99199999999999999</c:v>
                </c:pt>
                <c:pt idx="69">
                  <c:v>0.99150000000000005</c:v>
                </c:pt>
                <c:pt idx="70">
                  <c:v>1.0190999999999999</c:v>
                </c:pt>
                <c:pt idx="71">
                  <c:v>1.0289999999999999</c:v>
                </c:pt>
                <c:pt idx="72">
                  <c:v>1.0556000000000001</c:v>
                </c:pt>
                <c:pt idx="73">
                  <c:v>1.0968</c:v>
                </c:pt>
                <c:pt idx="74">
                  <c:v>1.1776</c:v>
                </c:pt>
                <c:pt idx="75">
                  <c:v>1.2115</c:v>
                </c:pt>
                <c:pt idx="76">
                  <c:v>1.2187999999999999</c:v>
                </c:pt>
                <c:pt idx="77">
                  <c:v>1.1801999999999999</c:v>
                </c:pt>
                <c:pt idx="78">
                  <c:v>1.1415999999999999</c:v>
                </c:pt>
                <c:pt idx="79">
                  <c:v>1.1055999999999999</c:v>
                </c:pt>
                <c:pt idx="80">
                  <c:v>1.0889</c:v>
                </c:pt>
                <c:pt idx="81">
                  <c:v>1.1301000000000001</c:v>
                </c:pt>
                <c:pt idx="82">
                  <c:v>1.0106999999999999</c:v>
                </c:pt>
                <c:pt idx="83">
                  <c:v>0.9617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E-4835-BA89-4DD603821102}"/>
            </c:ext>
          </c:extLst>
        </c:ser>
        <c:ser>
          <c:idx val="1"/>
          <c:order val="1"/>
          <c:tx>
            <c:v>Styrene</c:v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EB!$A$5:$A$88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EB!#REF!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EE-4835-BA89-4DD60382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083597721438949E-2"/>
          <c:y val="2.4392881525647444E-2"/>
          <c:w val="0.91491072474728807"/>
          <c:h val="0.8439306358381503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BZ!$A$5:$A$88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BZ!$B$5:$B$88</c:f>
              <c:numCache>
                <c:formatCode>0.00</c:formatCode>
                <c:ptCount val="84"/>
                <c:pt idx="0">
                  <c:v>0.85</c:v>
                </c:pt>
                <c:pt idx="1">
                  <c:v>0.87</c:v>
                </c:pt>
                <c:pt idx="2">
                  <c:v>0.88</c:v>
                </c:pt>
                <c:pt idx="3">
                  <c:v>0.9</c:v>
                </c:pt>
                <c:pt idx="4">
                  <c:v>0.92</c:v>
                </c:pt>
                <c:pt idx="5">
                  <c:v>0.92</c:v>
                </c:pt>
                <c:pt idx="6">
                  <c:v>0.94</c:v>
                </c:pt>
                <c:pt idx="7">
                  <c:v>0.94</c:v>
                </c:pt>
                <c:pt idx="8">
                  <c:v>0.92</c:v>
                </c:pt>
                <c:pt idx="9">
                  <c:v>0.84</c:v>
                </c:pt>
                <c:pt idx="10">
                  <c:v>0.78</c:v>
                </c:pt>
                <c:pt idx="11">
                  <c:v>0.71</c:v>
                </c:pt>
                <c:pt idx="12">
                  <c:v>0.66</c:v>
                </c:pt>
                <c:pt idx="13">
                  <c:v>0.66</c:v>
                </c:pt>
                <c:pt idx="14">
                  <c:v>0.7</c:v>
                </c:pt>
                <c:pt idx="15">
                  <c:v>0.71</c:v>
                </c:pt>
                <c:pt idx="16">
                  <c:v>0.75</c:v>
                </c:pt>
                <c:pt idx="17">
                  <c:v>0.79</c:v>
                </c:pt>
                <c:pt idx="18">
                  <c:v>0.81</c:v>
                </c:pt>
                <c:pt idx="19">
                  <c:v>0.8</c:v>
                </c:pt>
                <c:pt idx="20">
                  <c:v>0.81</c:v>
                </c:pt>
                <c:pt idx="21">
                  <c:v>0.74</c:v>
                </c:pt>
                <c:pt idx="22">
                  <c:v>0.71</c:v>
                </c:pt>
                <c:pt idx="23">
                  <c:v>0.74</c:v>
                </c:pt>
                <c:pt idx="24">
                  <c:v>0.75</c:v>
                </c:pt>
                <c:pt idx="25">
                  <c:v>0.69</c:v>
                </c:pt>
                <c:pt idx="26">
                  <c:v>0.54</c:v>
                </c:pt>
                <c:pt idx="27">
                  <c:v>0.39</c:v>
                </c:pt>
                <c:pt idx="28">
                  <c:v>0.36</c:v>
                </c:pt>
                <c:pt idx="29">
                  <c:v>0.38</c:v>
                </c:pt>
                <c:pt idx="30">
                  <c:v>0.42</c:v>
                </c:pt>
                <c:pt idx="31">
                  <c:v>0.45</c:v>
                </c:pt>
                <c:pt idx="32">
                  <c:v>0.46</c:v>
                </c:pt>
                <c:pt idx="33">
                  <c:v>0.49</c:v>
                </c:pt>
                <c:pt idx="34">
                  <c:v>0.55000000000000004</c:v>
                </c:pt>
                <c:pt idx="35">
                  <c:v>0.63</c:v>
                </c:pt>
                <c:pt idx="36">
                  <c:v>0.72</c:v>
                </c:pt>
                <c:pt idx="37">
                  <c:v>0.85</c:v>
                </c:pt>
                <c:pt idx="38">
                  <c:v>1</c:v>
                </c:pt>
                <c:pt idx="39">
                  <c:v>1.08</c:v>
                </c:pt>
                <c:pt idx="40">
                  <c:v>1.21</c:v>
                </c:pt>
                <c:pt idx="41">
                  <c:v>1.18</c:v>
                </c:pt>
                <c:pt idx="42">
                  <c:v>1.1000000000000001</c:v>
                </c:pt>
                <c:pt idx="43">
                  <c:v>1.04</c:v>
                </c:pt>
                <c:pt idx="44">
                  <c:v>1.02</c:v>
                </c:pt>
                <c:pt idx="45">
                  <c:v>1</c:v>
                </c:pt>
                <c:pt idx="46">
                  <c:v>1.01</c:v>
                </c:pt>
                <c:pt idx="47">
                  <c:v>1.04</c:v>
                </c:pt>
                <c:pt idx="48">
                  <c:v>1.1000000000000001</c:v>
                </c:pt>
                <c:pt idx="49">
                  <c:v>1.1499999999999999</c:v>
                </c:pt>
                <c:pt idx="50">
                  <c:v>1.17</c:v>
                </c:pt>
                <c:pt idx="51">
                  <c:v>1.24</c:v>
                </c:pt>
                <c:pt idx="52">
                  <c:v>1.33</c:v>
                </c:pt>
                <c:pt idx="53">
                  <c:v>1.36</c:v>
                </c:pt>
                <c:pt idx="54">
                  <c:v>1.32</c:v>
                </c:pt>
                <c:pt idx="55">
                  <c:v>1.21</c:v>
                </c:pt>
                <c:pt idx="56">
                  <c:v>1.06</c:v>
                </c:pt>
                <c:pt idx="57">
                  <c:v>0.89</c:v>
                </c:pt>
                <c:pt idx="58">
                  <c:v>0.89</c:v>
                </c:pt>
                <c:pt idx="59">
                  <c:v>0.91</c:v>
                </c:pt>
                <c:pt idx="60">
                  <c:v>0.93</c:v>
                </c:pt>
                <c:pt idx="61">
                  <c:v>0.94</c:v>
                </c:pt>
                <c:pt idx="62">
                  <c:v>0.99</c:v>
                </c:pt>
                <c:pt idx="63">
                  <c:v>1.03</c:v>
                </c:pt>
                <c:pt idx="64">
                  <c:v>1.01</c:v>
                </c:pt>
                <c:pt idx="65">
                  <c:v>0.98</c:v>
                </c:pt>
                <c:pt idx="66">
                  <c:v>0.99</c:v>
                </c:pt>
                <c:pt idx="67">
                  <c:v>0.98</c:v>
                </c:pt>
                <c:pt idx="68">
                  <c:v>0.96</c:v>
                </c:pt>
                <c:pt idx="69">
                  <c:v>0.97</c:v>
                </c:pt>
                <c:pt idx="70">
                  <c:v>0.99</c:v>
                </c:pt>
                <c:pt idx="71">
                  <c:v>1</c:v>
                </c:pt>
                <c:pt idx="72">
                  <c:v>1.04</c:v>
                </c:pt>
                <c:pt idx="73">
                  <c:v>1.1000000000000001</c:v>
                </c:pt>
                <c:pt idx="74">
                  <c:v>1.2</c:v>
                </c:pt>
                <c:pt idx="75">
                  <c:v>1.25</c:v>
                </c:pt>
                <c:pt idx="76">
                  <c:v>1.26</c:v>
                </c:pt>
                <c:pt idx="77">
                  <c:v>1.2</c:v>
                </c:pt>
                <c:pt idx="78">
                  <c:v>1.1399999999999999</c:v>
                </c:pt>
                <c:pt idx="79">
                  <c:v>1.08</c:v>
                </c:pt>
                <c:pt idx="80">
                  <c:v>1.05</c:v>
                </c:pt>
                <c:pt idx="81">
                  <c:v>1.1100000000000001</c:v>
                </c:pt>
                <c:pt idx="82">
                  <c:v>0.95</c:v>
                </c:pt>
                <c:pt idx="83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F-4FA2-8CD9-D4820D30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5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MEG!$A$5:$A$88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MEG!$B$5:$B$88</c:f>
              <c:numCache>
                <c:formatCode>0.00</c:formatCode>
                <c:ptCount val="84"/>
                <c:pt idx="0">
                  <c:v>0.94</c:v>
                </c:pt>
                <c:pt idx="1">
                  <c:v>0.97</c:v>
                </c:pt>
                <c:pt idx="2">
                  <c:v>0.95</c:v>
                </c:pt>
                <c:pt idx="3">
                  <c:v>0.97</c:v>
                </c:pt>
                <c:pt idx="4">
                  <c:v>0.97</c:v>
                </c:pt>
                <c:pt idx="5">
                  <c:v>0.98</c:v>
                </c:pt>
                <c:pt idx="6">
                  <c:v>0.99</c:v>
                </c:pt>
                <c:pt idx="7">
                  <c:v>0.98</c:v>
                </c:pt>
                <c:pt idx="8">
                  <c:v>0.98</c:v>
                </c:pt>
                <c:pt idx="9">
                  <c:v>0.95</c:v>
                </c:pt>
                <c:pt idx="10">
                  <c:v>0.9</c:v>
                </c:pt>
                <c:pt idx="11">
                  <c:v>0.85</c:v>
                </c:pt>
                <c:pt idx="12">
                  <c:v>0.81</c:v>
                </c:pt>
                <c:pt idx="13">
                  <c:v>0.77</c:v>
                </c:pt>
                <c:pt idx="14">
                  <c:v>0.74</c:v>
                </c:pt>
                <c:pt idx="15">
                  <c:v>0.71</c:v>
                </c:pt>
                <c:pt idx="16">
                  <c:v>0.69</c:v>
                </c:pt>
                <c:pt idx="17">
                  <c:v>0.67</c:v>
                </c:pt>
                <c:pt idx="18">
                  <c:v>0.64</c:v>
                </c:pt>
                <c:pt idx="19">
                  <c:v>0.61</c:v>
                </c:pt>
                <c:pt idx="20">
                  <c:v>0.59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0.54</c:v>
                </c:pt>
                <c:pt idx="26">
                  <c:v>0.53</c:v>
                </c:pt>
                <c:pt idx="27">
                  <c:v>0.49</c:v>
                </c:pt>
                <c:pt idx="28">
                  <c:v>0.47</c:v>
                </c:pt>
                <c:pt idx="29">
                  <c:v>0.47</c:v>
                </c:pt>
                <c:pt idx="30">
                  <c:v>0.51</c:v>
                </c:pt>
                <c:pt idx="31">
                  <c:v>0.55000000000000004</c:v>
                </c:pt>
                <c:pt idx="32">
                  <c:v>0.59</c:v>
                </c:pt>
                <c:pt idx="33">
                  <c:v>0.61</c:v>
                </c:pt>
                <c:pt idx="34">
                  <c:v>0.63</c:v>
                </c:pt>
                <c:pt idx="35">
                  <c:v>0.68</c:v>
                </c:pt>
                <c:pt idx="36">
                  <c:v>0.71</c:v>
                </c:pt>
                <c:pt idx="37">
                  <c:v>0.73</c:v>
                </c:pt>
                <c:pt idx="38">
                  <c:v>0.76</c:v>
                </c:pt>
                <c:pt idx="39">
                  <c:v>0.8</c:v>
                </c:pt>
                <c:pt idx="40">
                  <c:v>0.82</c:v>
                </c:pt>
                <c:pt idx="41">
                  <c:v>0.82</c:v>
                </c:pt>
                <c:pt idx="42">
                  <c:v>0.81</c:v>
                </c:pt>
                <c:pt idx="43">
                  <c:v>0.83</c:v>
                </c:pt>
                <c:pt idx="44">
                  <c:v>0.84</c:v>
                </c:pt>
                <c:pt idx="45">
                  <c:v>0.85</c:v>
                </c:pt>
                <c:pt idx="46">
                  <c:v>0.85</c:v>
                </c:pt>
                <c:pt idx="47">
                  <c:v>0.87</c:v>
                </c:pt>
                <c:pt idx="48">
                  <c:v>0.88</c:v>
                </c:pt>
                <c:pt idx="49">
                  <c:v>0.89</c:v>
                </c:pt>
                <c:pt idx="50">
                  <c:v>0.87</c:v>
                </c:pt>
                <c:pt idx="51">
                  <c:v>0.88</c:v>
                </c:pt>
                <c:pt idx="52">
                  <c:v>0.85</c:v>
                </c:pt>
                <c:pt idx="53">
                  <c:v>0.84</c:v>
                </c:pt>
                <c:pt idx="54">
                  <c:v>0.8</c:v>
                </c:pt>
                <c:pt idx="55">
                  <c:v>0.76</c:v>
                </c:pt>
                <c:pt idx="56">
                  <c:v>0.73</c:v>
                </c:pt>
                <c:pt idx="57">
                  <c:v>0.7</c:v>
                </c:pt>
                <c:pt idx="58">
                  <c:v>0.71</c:v>
                </c:pt>
                <c:pt idx="59">
                  <c:v>0.72</c:v>
                </c:pt>
                <c:pt idx="60">
                  <c:v>0.73</c:v>
                </c:pt>
                <c:pt idx="61">
                  <c:v>0.71</c:v>
                </c:pt>
                <c:pt idx="62">
                  <c:v>0.69</c:v>
                </c:pt>
                <c:pt idx="63">
                  <c:v>0.69</c:v>
                </c:pt>
                <c:pt idx="64">
                  <c:v>0.66</c:v>
                </c:pt>
                <c:pt idx="65">
                  <c:v>0.64</c:v>
                </c:pt>
                <c:pt idx="66">
                  <c:v>0.64</c:v>
                </c:pt>
                <c:pt idx="67">
                  <c:v>0.63</c:v>
                </c:pt>
                <c:pt idx="68">
                  <c:v>0.61</c:v>
                </c:pt>
                <c:pt idx="69">
                  <c:v>0.62</c:v>
                </c:pt>
                <c:pt idx="70">
                  <c:v>0.63</c:v>
                </c:pt>
                <c:pt idx="71">
                  <c:v>0.63</c:v>
                </c:pt>
                <c:pt idx="72">
                  <c:v>0.63</c:v>
                </c:pt>
                <c:pt idx="73">
                  <c:v>0.64</c:v>
                </c:pt>
                <c:pt idx="74">
                  <c:v>0.66</c:v>
                </c:pt>
                <c:pt idx="75">
                  <c:v>0.65</c:v>
                </c:pt>
                <c:pt idx="76">
                  <c:v>0.67</c:v>
                </c:pt>
                <c:pt idx="77">
                  <c:v>0.67</c:v>
                </c:pt>
                <c:pt idx="78">
                  <c:v>0.68</c:v>
                </c:pt>
                <c:pt idx="79">
                  <c:v>0.69</c:v>
                </c:pt>
                <c:pt idx="80">
                  <c:v>0.7</c:v>
                </c:pt>
                <c:pt idx="81">
                  <c:v>0.68</c:v>
                </c:pt>
                <c:pt idx="82">
                  <c:v>0.66</c:v>
                </c:pt>
                <c:pt idx="83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5-4BCF-8F15-62AFEC49E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ref1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MeOH!$A$17:$A$83</c:f>
              <c:numCache>
                <c:formatCode>mmm\-yy</c:formatCode>
                <c:ptCount val="67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</c:numCache>
            </c:numRef>
          </c:xVal>
          <c:yVal>
            <c:numRef>
              <c:f>MeOH!$B$17:$B$83</c:f>
              <c:numCache>
                <c:formatCode>0.00</c:formatCode>
                <c:ptCount val="67"/>
                <c:pt idx="0">
                  <c:v>0.4</c:v>
                </c:pt>
                <c:pt idx="1">
                  <c:v>0.4</c:v>
                </c:pt>
                <c:pt idx="2">
                  <c:v>0.39</c:v>
                </c:pt>
                <c:pt idx="3">
                  <c:v>0.39</c:v>
                </c:pt>
                <c:pt idx="4">
                  <c:v>0.39</c:v>
                </c:pt>
                <c:pt idx="5">
                  <c:v>0.39</c:v>
                </c:pt>
                <c:pt idx="6">
                  <c:v>0.35</c:v>
                </c:pt>
                <c:pt idx="7">
                  <c:v>0.34</c:v>
                </c:pt>
                <c:pt idx="8">
                  <c:v>0.33</c:v>
                </c:pt>
                <c:pt idx="9">
                  <c:v>0.31</c:v>
                </c:pt>
                <c:pt idx="10">
                  <c:v>0.31</c:v>
                </c:pt>
                <c:pt idx="11">
                  <c:v>0.31</c:v>
                </c:pt>
                <c:pt idx="12">
                  <c:v>0.3</c:v>
                </c:pt>
                <c:pt idx="13">
                  <c:v>0.26</c:v>
                </c:pt>
                <c:pt idx="14">
                  <c:v>0.22</c:v>
                </c:pt>
                <c:pt idx="15">
                  <c:v>0.17</c:v>
                </c:pt>
                <c:pt idx="16">
                  <c:v>0.16</c:v>
                </c:pt>
                <c:pt idx="17">
                  <c:v>0.17</c:v>
                </c:pt>
                <c:pt idx="18">
                  <c:v>0.19</c:v>
                </c:pt>
                <c:pt idx="19">
                  <c:v>0.22</c:v>
                </c:pt>
                <c:pt idx="20">
                  <c:v>0.24</c:v>
                </c:pt>
                <c:pt idx="21">
                  <c:v>0.27</c:v>
                </c:pt>
                <c:pt idx="22">
                  <c:v>0.3</c:v>
                </c:pt>
                <c:pt idx="23">
                  <c:v>0.4</c:v>
                </c:pt>
                <c:pt idx="24">
                  <c:v>0.4</c:v>
                </c:pt>
                <c:pt idx="25">
                  <c:v>0.41</c:v>
                </c:pt>
                <c:pt idx="26">
                  <c:v>0.38</c:v>
                </c:pt>
                <c:pt idx="27">
                  <c:v>0.38</c:v>
                </c:pt>
                <c:pt idx="28">
                  <c:v>0.37</c:v>
                </c:pt>
                <c:pt idx="29">
                  <c:v>0.37</c:v>
                </c:pt>
                <c:pt idx="30">
                  <c:v>0.39</c:v>
                </c:pt>
                <c:pt idx="31">
                  <c:v>0.46</c:v>
                </c:pt>
                <c:pt idx="32">
                  <c:v>0.44</c:v>
                </c:pt>
                <c:pt idx="33">
                  <c:v>0.51</c:v>
                </c:pt>
                <c:pt idx="34">
                  <c:v>0.45</c:v>
                </c:pt>
                <c:pt idx="35">
                  <c:v>0.41</c:v>
                </c:pt>
                <c:pt idx="36">
                  <c:v>0.43</c:v>
                </c:pt>
                <c:pt idx="37">
                  <c:v>0.41</c:v>
                </c:pt>
                <c:pt idx="38">
                  <c:v>0.45</c:v>
                </c:pt>
                <c:pt idx="39">
                  <c:v>0.39</c:v>
                </c:pt>
                <c:pt idx="40">
                  <c:v>0.38</c:v>
                </c:pt>
                <c:pt idx="41">
                  <c:v>0.39</c:v>
                </c:pt>
                <c:pt idx="42">
                  <c:v>0.37</c:v>
                </c:pt>
                <c:pt idx="43">
                  <c:v>0.37</c:v>
                </c:pt>
                <c:pt idx="44">
                  <c:v>0.37</c:v>
                </c:pt>
                <c:pt idx="45">
                  <c:v>0.35</c:v>
                </c:pt>
                <c:pt idx="46">
                  <c:v>0.33</c:v>
                </c:pt>
                <c:pt idx="47">
                  <c:v>0.33</c:v>
                </c:pt>
                <c:pt idx="48">
                  <c:v>0.34</c:v>
                </c:pt>
                <c:pt idx="49">
                  <c:v>0.36</c:v>
                </c:pt>
                <c:pt idx="50">
                  <c:v>0.36</c:v>
                </c:pt>
                <c:pt idx="51">
                  <c:v>0.32</c:v>
                </c:pt>
                <c:pt idx="52">
                  <c:v>0.28999999999999998</c:v>
                </c:pt>
                <c:pt idx="53">
                  <c:v>0.26</c:v>
                </c:pt>
                <c:pt idx="54">
                  <c:v>0.22</c:v>
                </c:pt>
                <c:pt idx="55">
                  <c:v>0.25</c:v>
                </c:pt>
                <c:pt idx="56">
                  <c:v>0.26</c:v>
                </c:pt>
                <c:pt idx="57">
                  <c:v>0.3</c:v>
                </c:pt>
                <c:pt idx="58">
                  <c:v>0.36</c:v>
                </c:pt>
                <c:pt idx="59">
                  <c:v>0.35</c:v>
                </c:pt>
                <c:pt idx="60">
                  <c:v>0.3</c:v>
                </c:pt>
                <c:pt idx="61">
                  <c:v>0.3</c:v>
                </c:pt>
                <c:pt idx="62">
                  <c:v>0.34</c:v>
                </c:pt>
                <c:pt idx="63">
                  <c:v>0.32</c:v>
                </c:pt>
                <c:pt idx="64">
                  <c:v>0.33</c:v>
                </c:pt>
                <c:pt idx="65">
                  <c:v>0.35</c:v>
                </c:pt>
                <c:pt idx="66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D-480F-9EA0-F6D2CB8DB280}"/>
            </c:ext>
          </c:extLst>
        </c:ser>
        <c:ser>
          <c:idx val="1"/>
          <c:order val="1"/>
          <c:tx>
            <c:v>ref2</c:v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MeOH!$A$5:$A$88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MeOH!#REF!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D-480F-9EA0-F6D2CB8DB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0.70000000000000007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MTBE!$A$5:$A$88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MTBE!$B$5:$B$88</c:f>
              <c:numCache>
                <c:formatCode>0.00</c:formatCode>
                <c:ptCount val="84"/>
                <c:pt idx="0">
                  <c:v>0.79</c:v>
                </c:pt>
                <c:pt idx="1">
                  <c:v>0.79</c:v>
                </c:pt>
                <c:pt idx="2">
                  <c:v>0.82</c:v>
                </c:pt>
                <c:pt idx="3">
                  <c:v>0.83</c:v>
                </c:pt>
                <c:pt idx="4">
                  <c:v>0.83</c:v>
                </c:pt>
                <c:pt idx="5">
                  <c:v>0.84</c:v>
                </c:pt>
                <c:pt idx="6">
                  <c:v>0.85</c:v>
                </c:pt>
                <c:pt idx="7">
                  <c:v>0.84</c:v>
                </c:pt>
                <c:pt idx="8">
                  <c:v>0.84</c:v>
                </c:pt>
                <c:pt idx="9">
                  <c:v>0.85</c:v>
                </c:pt>
                <c:pt idx="10">
                  <c:v>0.87</c:v>
                </c:pt>
                <c:pt idx="11">
                  <c:v>0.89</c:v>
                </c:pt>
                <c:pt idx="12">
                  <c:v>0.88</c:v>
                </c:pt>
                <c:pt idx="13">
                  <c:v>0.86</c:v>
                </c:pt>
                <c:pt idx="14">
                  <c:v>0.85</c:v>
                </c:pt>
                <c:pt idx="15">
                  <c:v>0.86</c:v>
                </c:pt>
                <c:pt idx="16">
                  <c:v>0.86</c:v>
                </c:pt>
                <c:pt idx="17">
                  <c:v>0.87</c:v>
                </c:pt>
                <c:pt idx="18">
                  <c:v>0.85</c:v>
                </c:pt>
                <c:pt idx="19">
                  <c:v>0.84</c:v>
                </c:pt>
                <c:pt idx="20">
                  <c:v>0.84</c:v>
                </c:pt>
                <c:pt idx="21">
                  <c:v>0.86</c:v>
                </c:pt>
                <c:pt idx="22">
                  <c:v>0.86</c:v>
                </c:pt>
                <c:pt idx="23">
                  <c:v>0.87</c:v>
                </c:pt>
                <c:pt idx="24">
                  <c:v>0.87</c:v>
                </c:pt>
                <c:pt idx="25">
                  <c:v>0.81</c:v>
                </c:pt>
                <c:pt idx="26">
                  <c:v>0.79</c:v>
                </c:pt>
                <c:pt idx="27">
                  <c:v>0.75</c:v>
                </c:pt>
                <c:pt idx="28">
                  <c:v>0.75</c:v>
                </c:pt>
                <c:pt idx="29">
                  <c:v>0.79</c:v>
                </c:pt>
                <c:pt idx="30">
                  <c:v>0.81</c:v>
                </c:pt>
                <c:pt idx="31">
                  <c:v>0.82</c:v>
                </c:pt>
                <c:pt idx="32">
                  <c:v>0.82</c:v>
                </c:pt>
                <c:pt idx="33">
                  <c:v>0.81</c:v>
                </c:pt>
                <c:pt idx="34">
                  <c:v>0.82</c:v>
                </c:pt>
                <c:pt idx="35">
                  <c:v>0.85</c:v>
                </c:pt>
                <c:pt idx="36">
                  <c:v>0.87</c:v>
                </c:pt>
                <c:pt idx="37">
                  <c:v>0.89</c:v>
                </c:pt>
                <c:pt idx="38">
                  <c:v>0.9</c:v>
                </c:pt>
                <c:pt idx="39">
                  <c:v>0.92</c:v>
                </c:pt>
                <c:pt idx="40">
                  <c:v>0.94</c:v>
                </c:pt>
                <c:pt idx="41">
                  <c:v>0.94</c:v>
                </c:pt>
                <c:pt idx="42">
                  <c:v>0.93</c:v>
                </c:pt>
                <c:pt idx="43">
                  <c:v>0.98</c:v>
                </c:pt>
                <c:pt idx="44">
                  <c:v>1.03</c:v>
                </c:pt>
                <c:pt idx="45">
                  <c:v>1.07</c:v>
                </c:pt>
                <c:pt idx="46">
                  <c:v>1.1000000000000001</c:v>
                </c:pt>
                <c:pt idx="47">
                  <c:v>1.1399999999999999</c:v>
                </c:pt>
                <c:pt idx="48">
                  <c:v>1.2</c:v>
                </c:pt>
                <c:pt idx="49">
                  <c:v>1.24</c:v>
                </c:pt>
                <c:pt idx="50">
                  <c:v>1.24</c:v>
                </c:pt>
                <c:pt idx="51">
                  <c:v>1.24</c:v>
                </c:pt>
                <c:pt idx="52">
                  <c:v>1.25</c:v>
                </c:pt>
                <c:pt idx="53">
                  <c:v>1.21</c:v>
                </c:pt>
                <c:pt idx="54">
                  <c:v>1.1100000000000001</c:v>
                </c:pt>
                <c:pt idx="55">
                  <c:v>1.03</c:v>
                </c:pt>
                <c:pt idx="56">
                  <c:v>1.07</c:v>
                </c:pt>
                <c:pt idx="57">
                  <c:v>0.95</c:v>
                </c:pt>
                <c:pt idx="58">
                  <c:v>0.99</c:v>
                </c:pt>
                <c:pt idx="59">
                  <c:v>0.99</c:v>
                </c:pt>
                <c:pt idx="60">
                  <c:v>1.06</c:v>
                </c:pt>
                <c:pt idx="61">
                  <c:v>1.0900000000000001</c:v>
                </c:pt>
                <c:pt idx="62">
                  <c:v>1.07</c:v>
                </c:pt>
                <c:pt idx="63">
                  <c:v>1.03</c:v>
                </c:pt>
                <c:pt idx="64">
                  <c:v>1.01</c:v>
                </c:pt>
                <c:pt idx="65">
                  <c:v>0.94</c:v>
                </c:pt>
                <c:pt idx="66">
                  <c:v>0.95</c:v>
                </c:pt>
                <c:pt idx="67">
                  <c:v>0.93</c:v>
                </c:pt>
                <c:pt idx="68">
                  <c:v>0.92</c:v>
                </c:pt>
                <c:pt idx="69">
                  <c:v>0.93</c:v>
                </c:pt>
                <c:pt idx="70">
                  <c:v>0.93</c:v>
                </c:pt>
                <c:pt idx="71">
                  <c:v>0.94</c:v>
                </c:pt>
                <c:pt idx="72">
                  <c:v>0.98</c:v>
                </c:pt>
                <c:pt idx="73">
                  <c:v>1</c:v>
                </c:pt>
                <c:pt idx="74">
                  <c:v>0.97</c:v>
                </c:pt>
                <c:pt idx="75">
                  <c:v>0.93</c:v>
                </c:pt>
                <c:pt idx="76">
                  <c:v>0.9</c:v>
                </c:pt>
                <c:pt idx="77">
                  <c:v>0.86</c:v>
                </c:pt>
                <c:pt idx="78">
                  <c:v>0.82</c:v>
                </c:pt>
                <c:pt idx="79">
                  <c:v>0.78</c:v>
                </c:pt>
                <c:pt idx="80">
                  <c:v>0.76</c:v>
                </c:pt>
                <c:pt idx="81">
                  <c:v>0.7</c:v>
                </c:pt>
                <c:pt idx="82">
                  <c:v>0.68</c:v>
                </c:pt>
                <c:pt idx="83">
                  <c:v>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8-4483-82D3-488719157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TBA!$A$5:$A$88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TBA!$B$5:$B$88</c:f>
              <c:numCache>
                <c:formatCode>0.00</c:formatCode>
                <c:ptCount val="84"/>
                <c:pt idx="0">
                  <c:v>0.87</c:v>
                </c:pt>
                <c:pt idx="1">
                  <c:v>0.89</c:v>
                </c:pt>
                <c:pt idx="2">
                  <c:v>0.95</c:v>
                </c:pt>
                <c:pt idx="3">
                  <c:v>0.95</c:v>
                </c:pt>
                <c:pt idx="4">
                  <c:v>0.93</c:v>
                </c:pt>
                <c:pt idx="5">
                  <c:v>0.97</c:v>
                </c:pt>
                <c:pt idx="6">
                  <c:v>0.98</c:v>
                </c:pt>
                <c:pt idx="7">
                  <c:v>0.99</c:v>
                </c:pt>
                <c:pt idx="8">
                  <c:v>1.01</c:v>
                </c:pt>
                <c:pt idx="9">
                  <c:v>1.01</c:v>
                </c:pt>
                <c:pt idx="10">
                  <c:v>0.99</c:v>
                </c:pt>
                <c:pt idx="11">
                  <c:v>0.98</c:v>
                </c:pt>
                <c:pt idx="12">
                  <c:v>0.96</c:v>
                </c:pt>
                <c:pt idx="13">
                  <c:v>0.96</c:v>
                </c:pt>
                <c:pt idx="14">
                  <c:v>0.93</c:v>
                </c:pt>
                <c:pt idx="15">
                  <c:v>0.92</c:v>
                </c:pt>
                <c:pt idx="16">
                  <c:v>0.9</c:v>
                </c:pt>
                <c:pt idx="17">
                  <c:v>0.88</c:v>
                </c:pt>
                <c:pt idx="18">
                  <c:v>0.86</c:v>
                </c:pt>
                <c:pt idx="19">
                  <c:v>0.84</c:v>
                </c:pt>
                <c:pt idx="20">
                  <c:v>0.82</c:v>
                </c:pt>
                <c:pt idx="21">
                  <c:v>0.8</c:v>
                </c:pt>
                <c:pt idx="22">
                  <c:v>0.79</c:v>
                </c:pt>
                <c:pt idx="23">
                  <c:v>0.77</c:v>
                </c:pt>
                <c:pt idx="24">
                  <c:v>0.75</c:v>
                </c:pt>
                <c:pt idx="25">
                  <c:v>0.73</c:v>
                </c:pt>
                <c:pt idx="26">
                  <c:v>0.73</c:v>
                </c:pt>
                <c:pt idx="27">
                  <c:v>0.69</c:v>
                </c:pt>
                <c:pt idx="28">
                  <c:v>0.65</c:v>
                </c:pt>
                <c:pt idx="29">
                  <c:v>0.66</c:v>
                </c:pt>
                <c:pt idx="30">
                  <c:v>0.67</c:v>
                </c:pt>
                <c:pt idx="31">
                  <c:v>0.69</c:v>
                </c:pt>
                <c:pt idx="32">
                  <c:v>0.73</c:v>
                </c:pt>
                <c:pt idx="33">
                  <c:v>0.74</c:v>
                </c:pt>
                <c:pt idx="34">
                  <c:v>0.83</c:v>
                </c:pt>
                <c:pt idx="35">
                  <c:v>0.95</c:v>
                </c:pt>
                <c:pt idx="36">
                  <c:v>1.1200000000000001</c:v>
                </c:pt>
                <c:pt idx="37">
                  <c:v>1.26</c:v>
                </c:pt>
                <c:pt idx="38">
                  <c:v>1.48</c:v>
                </c:pt>
                <c:pt idx="39">
                  <c:v>1.61</c:v>
                </c:pt>
                <c:pt idx="40">
                  <c:v>1.79</c:v>
                </c:pt>
                <c:pt idx="41">
                  <c:v>1.85</c:v>
                </c:pt>
                <c:pt idx="42">
                  <c:v>1.89</c:v>
                </c:pt>
                <c:pt idx="43">
                  <c:v>1.97</c:v>
                </c:pt>
                <c:pt idx="44">
                  <c:v>2.0499999999999998</c:v>
                </c:pt>
                <c:pt idx="45">
                  <c:v>2.0299999999999998</c:v>
                </c:pt>
                <c:pt idx="46">
                  <c:v>1.96</c:v>
                </c:pt>
                <c:pt idx="47">
                  <c:v>1.9</c:v>
                </c:pt>
                <c:pt idx="48">
                  <c:v>1.79</c:v>
                </c:pt>
                <c:pt idx="49">
                  <c:v>1.69</c:v>
                </c:pt>
                <c:pt idx="50">
                  <c:v>1.62</c:v>
                </c:pt>
                <c:pt idx="51">
                  <c:v>1.6</c:v>
                </c:pt>
                <c:pt idx="52">
                  <c:v>1.54</c:v>
                </c:pt>
                <c:pt idx="53">
                  <c:v>1.53</c:v>
                </c:pt>
                <c:pt idx="54">
                  <c:v>1.47</c:v>
                </c:pt>
                <c:pt idx="55">
                  <c:v>1.44</c:v>
                </c:pt>
                <c:pt idx="56">
                  <c:v>1.39</c:v>
                </c:pt>
                <c:pt idx="57">
                  <c:v>1.36</c:v>
                </c:pt>
                <c:pt idx="58">
                  <c:v>1.39</c:v>
                </c:pt>
                <c:pt idx="59">
                  <c:v>1.4</c:v>
                </c:pt>
                <c:pt idx="60">
                  <c:v>1.37</c:v>
                </c:pt>
                <c:pt idx="61">
                  <c:v>1.33</c:v>
                </c:pt>
                <c:pt idx="62">
                  <c:v>1.28</c:v>
                </c:pt>
                <c:pt idx="63">
                  <c:v>1.28</c:v>
                </c:pt>
                <c:pt idx="64">
                  <c:v>1.26</c:v>
                </c:pt>
                <c:pt idx="65">
                  <c:v>1.24</c:v>
                </c:pt>
                <c:pt idx="66">
                  <c:v>1.21</c:v>
                </c:pt>
                <c:pt idx="67">
                  <c:v>1.1399999999999999</c:v>
                </c:pt>
                <c:pt idx="68">
                  <c:v>1.1100000000000001</c:v>
                </c:pt>
                <c:pt idx="69">
                  <c:v>1.08</c:v>
                </c:pt>
                <c:pt idx="70">
                  <c:v>1.1100000000000001</c:v>
                </c:pt>
                <c:pt idx="71">
                  <c:v>1.1100000000000001</c:v>
                </c:pt>
                <c:pt idx="72">
                  <c:v>1.1299999999999999</c:v>
                </c:pt>
                <c:pt idx="73">
                  <c:v>1.1399999999999999</c:v>
                </c:pt>
                <c:pt idx="74">
                  <c:v>1.17</c:v>
                </c:pt>
                <c:pt idx="75">
                  <c:v>1.2</c:v>
                </c:pt>
                <c:pt idx="76">
                  <c:v>1.24</c:v>
                </c:pt>
                <c:pt idx="77">
                  <c:v>1.29</c:v>
                </c:pt>
                <c:pt idx="78">
                  <c:v>1.31</c:v>
                </c:pt>
                <c:pt idx="79">
                  <c:v>1.34</c:v>
                </c:pt>
                <c:pt idx="80">
                  <c:v>1.35</c:v>
                </c:pt>
                <c:pt idx="81">
                  <c:v>1.33</c:v>
                </c:pt>
                <c:pt idx="82">
                  <c:v>1.28</c:v>
                </c:pt>
                <c:pt idx="83">
                  <c:v>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8-4441-A426-56BB360D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iCfourA!$A$5:$A$88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iCfourA!$B$5:$B$88</c:f>
              <c:numCache>
                <c:formatCode>0.00</c:formatCode>
                <c:ptCount val="84"/>
                <c:pt idx="0">
                  <c:v>1.48</c:v>
                </c:pt>
                <c:pt idx="1">
                  <c:v>1.5</c:v>
                </c:pt>
                <c:pt idx="2">
                  <c:v>1.48</c:v>
                </c:pt>
                <c:pt idx="3">
                  <c:v>1.47</c:v>
                </c:pt>
                <c:pt idx="4">
                  <c:v>1.43</c:v>
                </c:pt>
                <c:pt idx="5">
                  <c:v>1.43</c:v>
                </c:pt>
                <c:pt idx="6">
                  <c:v>1.46</c:v>
                </c:pt>
                <c:pt idx="7">
                  <c:v>1.47</c:v>
                </c:pt>
                <c:pt idx="8">
                  <c:v>1.49</c:v>
                </c:pt>
                <c:pt idx="9">
                  <c:v>1.47</c:v>
                </c:pt>
                <c:pt idx="10">
                  <c:v>1.46</c:v>
                </c:pt>
                <c:pt idx="11">
                  <c:v>1.44</c:v>
                </c:pt>
                <c:pt idx="12">
                  <c:v>1.41</c:v>
                </c:pt>
                <c:pt idx="13">
                  <c:v>1.36</c:v>
                </c:pt>
                <c:pt idx="14">
                  <c:v>1.34</c:v>
                </c:pt>
                <c:pt idx="15">
                  <c:v>1.32</c:v>
                </c:pt>
                <c:pt idx="16">
                  <c:v>1.31</c:v>
                </c:pt>
                <c:pt idx="17">
                  <c:v>1.32</c:v>
                </c:pt>
                <c:pt idx="18">
                  <c:v>1.3</c:v>
                </c:pt>
                <c:pt idx="19">
                  <c:v>1.27</c:v>
                </c:pt>
                <c:pt idx="20">
                  <c:v>1.23</c:v>
                </c:pt>
                <c:pt idx="21">
                  <c:v>1.23</c:v>
                </c:pt>
                <c:pt idx="22">
                  <c:v>1.21</c:v>
                </c:pt>
                <c:pt idx="23">
                  <c:v>1.19</c:v>
                </c:pt>
                <c:pt idx="24">
                  <c:v>1.17</c:v>
                </c:pt>
                <c:pt idx="25">
                  <c:v>1.1499999999999999</c:v>
                </c:pt>
                <c:pt idx="26">
                  <c:v>1.17</c:v>
                </c:pt>
                <c:pt idx="27">
                  <c:v>1.1299999999999999</c:v>
                </c:pt>
                <c:pt idx="28">
                  <c:v>1.1200000000000001</c:v>
                </c:pt>
                <c:pt idx="29">
                  <c:v>1.1499999999999999</c:v>
                </c:pt>
                <c:pt idx="30">
                  <c:v>1.1499999999999999</c:v>
                </c:pt>
                <c:pt idx="31">
                  <c:v>1.18</c:v>
                </c:pt>
                <c:pt idx="32">
                  <c:v>1.19</c:v>
                </c:pt>
                <c:pt idx="33">
                  <c:v>1.21</c:v>
                </c:pt>
                <c:pt idx="34">
                  <c:v>1.23</c:v>
                </c:pt>
                <c:pt idx="35">
                  <c:v>1.28</c:v>
                </c:pt>
                <c:pt idx="36">
                  <c:v>1.33</c:v>
                </c:pt>
                <c:pt idx="37">
                  <c:v>1.36</c:v>
                </c:pt>
                <c:pt idx="38">
                  <c:v>1.43</c:v>
                </c:pt>
                <c:pt idx="39">
                  <c:v>1.48</c:v>
                </c:pt>
                <c:pt idx="40">
                  <c:v>1.55</c:v>
                </c:pt>
                <c:pt idx="41">
                  <c:v>1.54</c:v>
                </c:pt>
                <c:pt idx="42">
                  <c:v>1.49</c:v>
                </c:pt>
                <c:pt idx="43">
                  <c:v>1.51</c:v>
                </c:pt>
                <c:pt idx="44">
                  <c:v>1.53</c:v>
                </c:pt>
                <c:pt idx="45">
                  <c:v>1.63</c:v>
                </c:pt>
                <c:pt idx="46">
                  <c:v>1.63</c:v>
                </c:pt>
                <c:pt idx="47">
                  <c:v>1.69</c:v>
                </c:pt>
                <c:pt idx="48">
                  <c:v>1.72</c:v>
                </c:pt>
                <c:pt idx="49">
                  <c:v>1.79</c:v>
                </c:pt>
                <c:pt idx="50">
                  <c:v>1.79</c:v>
                </c:pt>
                <c:pt idx="51">
                  <c:v>1.84</c:v>
                </c:pt>
                <c:pt idx="52">
                  <c:v>1.77</c:v>
                </c:pt>
                <c:pt idx="53">
                  <c:v>1.81</c:v>
                </c:pt>
                <c:pt idx="54">
                  <c:v>1.77</c:v>
                </c:pt>
                <c:pt idx="55">
                  <c:v>1.72</c:v>
                </c:pt>
                <c:pt idx="56">
                  <c:v>1.68</c:v>
                </c:pt>
                <c:pt idx="57">
                  <c:v>1.69</c:v>
                </c:pt>
                <c:pt idx="58">
                  <c:v>1.77</c:v>
                </c:pt>
                <c:pt idx="59">
                  <c:v>1.79</c:v>
                </c:pt>
                <c:pt idx="60">
                  <c:v>1.8</c:v>
                </c:pt>
                <c:pt idx="61">
                  <c:v>1.73</c:v>
                </c:pt>
                <c:pt idx="62">
                  <c:v>1.68</c:v>
                </c:pt>
                <c:pt idx="63">
                  <c:v>1.67</c:v>
                </c:pt>
                <c:pt idx="64">
                  <c:v>1.59</c:v>
                </c:pt>
                <c:pt idx="65">
                  <c:v>1.55</c:v>
                </c:pt>
                <c:pt idx="66">
                  <c:v>1.51</c:v>
                </c:pt>
                <c:pt idx="67">
                  <c:v>1.4</c:v>
                </c:pt>
                <c:pt idx="68">
                  <c:v>1.36</c:v>
                </c:pt>
                <c:pt idx="69">
                  <c:v>1.35</c:v>
                </c:pt>
                <c:pt idx="70">
                  <c:v>1.39</c:v>
                </c:pt>
                <c:pt idx="71">
                  <c:v>1.41</c:v>
                </c:pt>
                <c:pt idx="72">
                  <c:v>1.47</c:v>
                </c:pt>
                <c:pt idx="73">
                  <c:v>1.47</c:v>
                </c:pt>
                <c:pt idx="74">
                  <c:v>1.49</c:v>
                </c:pt>
                <c:pt idx="75">
                  <c:v>1.5</c:v>
                </c:pt>
                <c:pt idx="76">
                  <c:v>1.49</c:v>
                </c:pt>
                <c:pt idx="77">
                  <c:v>1.49</c:v>
                </c:pt>
                <c:pt idx="78">
                  <c:v>1.49</c:v>
                </c:pt>
                <c:pt idx="79">
                  <c:v>1.48</c:v>
                </c:pt>
                <c:pt idx="80">
                  <c:v>1.49</c:v>
                </c:pt>
                <c:pt idx="81">
                  <c:v>1.47</c:v>
                </c:pt>
                <c:pt idx="82">
                  <c:v>1.43</c:v>
                </c:pt>
                <c:pt idx="83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4-4387-8423-B0B3BCD72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Naphtha!$A$5:$A$88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Naphtha!$B$5:$B$88</c:f>
              <c:numCache>
                <c:formatCode>0.00</c:formatCode>
                <c:ptCount val="84"/>
                <c:pt idx="0">
                  <c:v>0.44</c:v>
                </c:pt>
                <c:pt idx="1">
                  <c:v>0.42</c:v>
                </c:pt>
                <c:pt idx="2">
                  <c:v>0.44</c:v>
                </c:pt>
                <c:pt idx="3">
                  <c:v>0.48</c:v>
                </c:pt>
                <c:pt idx="4">
                  <c:v>0.52</c:v>
                </c:pt>
                <c:pt idx="5">
                  <c:v>0.5</c:v>
                </c:pt>
                <c:pt idx="6">
                  <c:v>0.51</c:v>
                </c:pt>
                <c:pt idx="7">
                  <c:v>0.51</c:v>
                </c:pt>
                <c:pt idx="8">
                  <c:v>0.53</c:v>
                </c:pt>
                <c:pt idx="9">
                  <c:v>0.51</c:v>
                </c:pt>
                <c:pt idx="10">
                  <c:v>0.42</c:v>
                </c:pt>
                <c:pt idx="11">
                  <c:v>0.39</c:v>
                </c:pt>
                <c:pt idx="12">
                  <c:v>0.38</c:v>
                </c:pt>
                <c:pt idx="13">
                  <c:v>0.4</c:v>
                </c:pt>
                <c:pt idx="14">
                  <c:v>0.42</c:v>
                </c:pt>
                <c:pt idx="15">
                  <c:v>0.44</c:v>
                </c:pt>
                <c:pt idx="16">
                  <c:v>0.43</c:v>
                </c:pt>
                <c:pt idx="17">
                  <c:v>0.38</c:v>
                </c:pt>
                <c:pt idx="18">
                  <c:v>0.39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0.39</c:v>
                </c:pt>
                <c:pt idx="23">
                  <c:v>0.4</c:v>
                </c:pt>
                <c:pt idx="24">
                  <c:v>0.39</c:v>
                </c:pt>
                <c:pt idx="25">
                  <c:v>0.35</c:v>
                </c:pt>
                <c:pt idx="26">
                  <c:v>0.22</c:v>
                </c:pt>
                <c:pt idx="27">
                  <c:v>0.15</c:v>
                </c:pt>
                <c:pt idx="28">
                  <c:v>0.21</c:v>
                </c:pt>
                <c:pt idx="29">
                  <c:v>0.28000000000000003</c:v>
                </c:pt>
                <c:pt idx="30">
                  <c:v>0.31</c:v>
                </c:pt>
                <c:pt idx="31">
                  <c:v>0.32</c:v>
                </c:pt>
                <c:pt idx="32">
                  <c:v>0.32</c:v>
                </c:pt>
                <c:pt idx="33">
                  <c:v>0.34</c:v>
                </c:pt>
                <c:pt idx="34">
                  <c:v>0.34</c:v>
                </c:pt>
                <c:pt idx="35">
                  <c:v>0.37</c:v>
                </c:pt>
                <c:pt idx="36">
                  <c:v>0.41</c:v>
                </c:pt>
                <c:pt idx="37">
                  <c:v>0.44</c:v>
                </c:pt>
                <c:pt idx="38">
                  <c:v>0.45</c:v>
                </c:pt>
                <c:pt idx="39">
                  <c:v>0.46</c:v>
                </c:pt>
                <c:pt idx="40">
                  <c:v>0.5</c:v>
                </c:pt>
                <c:pt idx="41">
                  <c:v>0.52</c:v>
                </c:pt>
                <c:pt idx="42">
                  <c:v>0.53</c:v>
                </c:pt>
                <c:pt idx="43">
                  <c:v>0.53</c:v>
                </c:pt>
                <c:pt idx="44">
                  <c:v>0.54</c:v>
                </c:pt>
                <c:pt idx="45">
                  <c:v>0.56000000000000005</c:v>
                </c:pt>
                <c:pt idx="46">
                  <c:v>0.57999999999999996</c:v>
                </c:pt>
                <c:pt idx="47">
                  <c:v>0.61</c:v>
                </c:pt>
                <c:pt idx="48">
                  <c:v>0.65</c:v>
                </c:pt>
                <c:pt idx="49">
                  <c:v>0.7</c:v>
                </c:pt>
                <c:pt idx="50">
                  <c:v>0.73</c:v>
                </c:pt>
                <c:pt idx="51">
                  <c:v>0.75</c:v>
                </c:pt>
                <c:pt idx="52">
                  <c:v>0.73</c:v>
                </c:pt>
                <c:pt idx="53">
                  <c:v>0.73</c:v>
                </c:pt>
                <c:pt idx="54">
                  <c:v>0.73</c:v>
                </c:pt>
                <c:pt idx="55">
                  <c:v>0.71</c:v>
                </c:pt>
                <c:pt idx="56">
                  <c:v>0.66</c:v>
                </c:pt>
                <c:pt idx="57">
                  <c:v>0.65</c:v>
                </c:pt>
                <c:pt idx="58">
                  <c:v>0.67</c:v>
                </c:pt>
                <c:pt idx="59">
                  <c:v>0.63</c:v>
                </c:pt>
                <c:pt idx="60">
                  <c:v>0.65</c:v>
                </c:pt>
                <c:pt idx="61">
                  <c:v>0.69</c:v>
                </c:pt>
                <c:pt idx="62">
                  <c:v>0.69</c:v>
                </c:pt>
                <c:pt idx="63">
                  <c:v>0.67</c:v>
                </c:pt>
                <c:pt idx="64">
                  <c:v>0.6</c:v>
                </c:pt>
                <c:pt idx="65">
                  <c:v>0.56999999999999995</c:v>
                </c:pt>
                <c:pt idx="66">
                  <c:v>0.56999999999999995</c:v>
                </c:pt>
                <c:pt idx="67">
                  <c:v>0.6</c:v>
                </c:pt>
                <c:pt idx="68">
                  <c:v>0.64</c:v>
                </c:pt>
                <c:pt idx="69">
                  <c:v>0.62</c:v>
                </c:pt>
                <c:pt idx="70">
                  <c:v>0.6</c:v>
                </c:pt>
                <c:pt idx="71">
                  <c:v>0.59</c:v>
                </c:pt>
                <c:pt idx="72">
                  <c:v>0.6</c:v>
                </c:pt>
                <c:pt idx="73">
                  <c:v>0.61</c:v>
                </c:pt>
                <c:pt idx="74">
                  <c:v>0.64</c:v>
                </c:pt>
                <c:pt idx="75">
                  <c:v>0.64</c:v>
                </c:pt>
                <c:pt idx="76">
                  <c:v>0.62</c:v>
                </c:pt>
                <c:pt idx="77">
                  <c:v>0.61</c:v>
                </c:pt>
                <c:pt idx="78">
                  <c:v>0.61</c:v>
                </c:pt>
                <c:pt idx="79">
                  <c:v>0.59</c:v>
                </c:pt>
                <c:pt idx="80">
                  <c:v>0.56999999999999995</c:v>
                </c:pt>
                <c:pt idx="81">
                  <c:v>0.56000000000000005</c:v>
                </c:pt>
                <c:pt idx="82">
                  <c:v>0.55000000000000004</c:v>
                </c:pt>
                <c:pt idx="83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9-4A8B-BFD2-B409C386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0.8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CthreeE!$A$7:$A$88</c:f>
              <c:numCache>
                <c:formatCode>mmm\-yy</c:formatCode>
                <c:ptCount val="82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  <c:pt idx="58">
                  <c:v>44927</c:v>
                </c:pt>
                <c:pt idx="59">
                  <c:v>44958</c:v>
                </c:pt>
                <c:pt idx="60">
                  <c:v>44986</c:v>
                </c:pt>
                <c:pt idx="61">
                  <c:v>45017</c:v>
                </c:pt>
                <c:pt idx="62">
                  <c:v>45047</c:v>
                </c:pt>
                <c:pt idx="63">
                  <c:v>45078</c:v>
                </c:pt>
                <c:pt idx="64">
                  <c:v>45108</c:v>
                </c:pt>
                <c:pt idx="65">
                  <c:v>45139</c:v>
                </c:pt>
                <c:pt idx="66">
                  <c:v>45170</c:v>
                </c:pt>
                <c:pt idx="67">
                  <c:v>45200</c:v>
                </c:pt>
                <c:pt idx="68">
                  <c:v>45231</c:v>
                </c:pt>
                <c:pt idx="69">
                  <c:v>45261</c:v>
                </c:pt>
                <c:pt idx="70">
                  <c:v>45292</c:v>
                </c:pt>
                <c:pt idx="71">
                  <c:v>45323</c:v>
                </c:pt>
                <c:pt idx="72">
                  <c:v>45352</c:v>
                </c:pt>
                <c:pt idx="73">
                  <c:v>45383</c:v>
                </c:pt>
                <c:pt idx="74">
                  <c:v>45413</c:v>
                </c:pt>
                <c:pt idx="75">
                  <c:v>45444</c:v>
                </c:pt>
                <c:pt idx="76">
                  <c:v>45474</c:v>
                </c:pt>
                <c:pt idx="77">
                  <c:v>45505</c:v>
                </c:pt>
                <c:pt idx="78">
                  <c:v>45536</c:v>
                </c:pt>
                <c:pt idx="79">
                  <c:v>45566</c:v>
                </c:pt>
                <c:pt idx="80">
                  <c:v>45597</c:v>
                </c:pt>
                <c:pt idx="81">
                  <c:v>45627</c:v>
                </c:pt>
              </c:numCache>
            </c:numRef>
          </c:xVal>
          <c:yVal>
            <c:numRef>
              <c:f>CthreeE!$B$7:$B$88</c:f>
              <c:numCache>
                <c:formatCode>0.00</c:formatCode>
                <c:ptCount val="82"/>
                <c:pt idx="0">
                  <c:v>1.03</c:v>
                </c:pt>
                <c:pt idx="1">
                  <c:v>1.08</c:v>
                </c:pt>
                <c:pt idx="2">
                  <c:v>1.0900000000000001</c:v>
                </c:pt>
                <c:pt idx="3">
                  <c:v>1.1000000000000001</c:v>
                </c:pt>
                <c:pt idx="4">
                  <c:v>1.1299999999999999</c:v>
                </c:pt>
                <c:pt idx="5">
                  <c:v>1.1299999999999999</c:v>
                </c:pt>
                <c:pt idx="6">
                  <c:v>1.1399999999999999</c:v>
                </c:pt>
                <c:pt idx="7">
                  <c:v>1.1100000000000001</c:v>
                </c:pt>
                <c:pt idx="8">
                  <c:v>1.07</c:v>
                </c:pt>
                <c:pt idx="9">
                  <c:v>1.05</c:v>
                </c:pt>
                <c:pt idx="10">
                  <c:v>1.02</c:v>
                </c:pt>
                <c:pt idx="11">
                  <c:v>1.01</c:v>
                </c:pt>
                <c:pt idx="12">
                  <c:v>1.03</c:v>
                </c:pt>
                <c:pt idx="13">
                  <c:v>1.03</c:v>
                </c:pt>
                <c:pt idx="14">
                  <c:v>1.03</c:v>
                </c:pt>
                <c:pt idx="15">
                  <c:v>1.04</c:v>
                </c:pt>
                <c:pt idx="16">
                  <c:v>1</c:v>
                </c:pt>
                <c:pt idx="17">
                  <c:v>0.95</c:v>
                </c:pt>
                <c:pt idx="18">
                  <c:v>0.9</c:v>
                </c:pt>
                <c:pt idx="19">
                  <c:v>0.88</c:v>
                </c:pt>
                <c:pt idx="20">
                  <c:v>0.86</c:v>
                </c:pt>
                <c:pt idx="21">
                  <c:v>0.85</c:v>
                </c:pt>
                <c:pt idx="22">
                  <c:v>0.85</c:v>
                </c:pt>
                <c:pt idx="23">
                  <c:v>0.82</c:v>
                </c:pt>
                <c:pt idx="24">
                  <c:v>0.79</c:v>
                </c:pt>
                <c:pt idx="25">
                  <c:v>0.72</c:v>
                </c:pt>
                <c:pt idx="26">
                  <c:v>0.67</c:v>
                </c:pt>
                <c:pt idx="27">
                  <c:v>0.68</c:v>
                </c:pt>
                <c:pt idx="28">
                  <c:v>0.69</c:v>
                </c:pt>
                <c:pt idx="29">
                  <c:v>0.73</c:v>
                </c:pt>
                <c:pt idx="30">
                  <c:v>0.75</c:v>
                </c:pt>
                <c:pt idx="31">
                  <c:v>0.77</c:v>
                </c:pt>
                <c:pt idx="32">
                  <c:v>0.79</c:v>
                </c:pt>
                <c:pt idx="33">
                  <c:v>0.86</c:v>
                </c:pt>
                <c:pt idx="34">
                  <c:v>0.92</c:v>
                </c:pt>
                <c:pt idx="35">
                  <c:v>0.97</c:v>
                </c:pt>
                <c:pt idx="36">
                  <c:v>1.03</c:v>
                </c:pt>
                <c:pt idx="37">
                  <c:v>1.08</c:v>
                </c:pt>
                <c:pt idx="38">
                  <c:v>1.1499999999999999</c:v>
                </c:pt>
                <c:pt idx="39">
                  <c:v>1.18</c:v>
                </c:pt>
                <c:pt idx="40">
                  <c:v>1.2</c:v>
                </c:pt>
                <c:pt idx="41">
                  <c:v>1.24</c:v>
                </c:pt>
                <c:pt idx="42">
                  <c:v>1.28</c:v>
                </c:pt>
                <c:pt idx="43">
                  <c:v>1.3</c:v>
                </c:pt>
                <c:pt idx="44">
                  <c:v>1.3</c:v>
                </c:pt>
                <c:pt idx="45">
                  <c:v>1.32</c:v>
                </c:pt>
                <c:pt idx="46">
                  <c:v>1.37</c:v>
                </c:pt>
                <c:pt idx="47">
                  <c:v>1.45</c:v>
                </c:pt>
                <c:pt idx="48">
                  <c:v>1.48</c:v>
                </c:pt>
                <c:pt idx="49">
                  <c:v>1.55</c:v>
                </c:pt>
                <c:pt idx="50">
                  <c:v>1.51</c:v>
                </c:pt>
                <c:pt idx="51">
                  <c:v>1.51</c:v>
                </c:pt>
                <c:pt idx="52">
                  <c:v>1.38</c:v>
                </c:pt>
                <c:pt idx="53">
                  <c:v>1.28</c:v>
                </c:pt>
                <c:pt idx="54">
                  <c:v>1.17</c:v>
                </c:pt>
                <c:pt idx="55">
                  <c:v>1.1100000000000001</c:v>
                </c:pt>
                <c:pt idx="56">
                  <c:v>1.1000000000000001</c:v>
                </c:pt>
                <c:pt idx="57">
                  <c:v>1.1200000000000001</c:v>
                </c:pt>
                <c:pt idx="58">
                  <c:v>1.08</c:v>
                </c:pt>
                <c:pt idx="59">
                  <c:v>1.07</c:v>
                </c:pt>
                <c:pt idx="60">
                  <c:v>1.06</c:v>
                </c:pt>
                <c:pt idx="61">
                  <c:v>1.07</c:v>
                </c:pt>
                <c:pt idx="62">
                  <c:v>1.04</c:v>
                </c:pt>
                <c:pt idx="63">
                  <c:v>1.03</c:v>
                </c:pt>
                <c:pt idx="64">
                  <c:v>1.03</c:v>
                </c:pt>
                <c:pt idx="65">
                  <c:v>0.98</c:v>
                </c:pt>
                <c:pt idx="66">
                  <c:v>0.96</c:v>
                </c:pt>
                <c:pt idx="67">
                  <c:v>0.95</c:v>
                </c:pt>
                <c:pt idx="68">
                  <c:v>0.99</c:v>
                </c:pt>
                <c:pt idx="69">
                  <c:v>1</c:v>
                </c:pt>
                <c:pt idx="70">
                  <c:v>1.01</c:v>
                </c:pt>
                <c:pt idx="71">
                  <c:v>1.02</c:v>
                </c:pt>
                <c:pt idx="72">
                  <c:v>1.05</c:v>
                </c:pt>
                <c:pt idx="73">
                  <c:v>1.05</c:v>
                </c:pt>
                <c:pt idx="74">
                  <c:v>1.06</c:v>
                </c:pt>
                <c:pt idx="75">
                  <c:v>1.07</c:v>
                </c:pt>
                <c:pt idx="76">
                  <c:v>1.06</c:v>
                </c:pt>
                <c:pt idx="77">
                  <c:v>1.05</c:v>
                </c:pt>
                <c:pt idx="78">
                  <c:v>1.05</c:v>
                </c:pt>
                <c:pt idx="79">
                  <c:v>1.03</c:v>
                </c:pt>
                <c:pt idx="80">
                  <c:v>1</c:v>
                </c:pt>
                <c:pt idx="81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A-4010-A643-C0AAEFF0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52346468076294E-2"/>
          <c:y val="2.4449411957920091E-2"/>
          <c:w val="0.91491072474728807"/>
          <c:h val="0.843568945538818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Buta!$A$4:$A$87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Buta!$B$4:$B$87</c:f>
              <c:numCache>
                <c:formatCode>0.00</c:formatCode>
                <c:ptCount val="84"/>
                <c:pt idx="0">
                  <c:v>1.02</c:v>
                </c:pt>
                <c:pt idx="1">
                  <c:v>1.0900000000000001</c:v>
                </c:pt>
                <c:pt idx="2">
                  <c:v>1.05</c:v>
                </c:pt>
                <c:pt idx="3">
                  <c:v>1.1299999999999999</c:v>
                </c:pt>
                <c:pt idx="4">
                  <c:v>1.19</c:v>
                </c:pt>
                <c:pt idx="5">
                  <c:v>1.2</c:v>
                </c:pt>
                <c:pt idx="6">
                  <c:v>1.25</c:v>
                </c:pt>
                <c:pt idx="7">
                  <c:v>1.28</c:v>
                </c:pt>
                <c:pt idx="8">
                  <c:v>1.29</c:v>
                </c:pt>
                <c:pt idx="9">
                  <c:v>1.25</c:v>
                </c:pt>
                <c:pt idx="10">
                  <c:v>1.18</c:v>
                </c:pt>
                <c:pt idx="11">
                  <c:v>1.1000000000000001</c:v>
                </c:pt>
                <c:pt idx="12">
                  <c:v>1.04</c:v>
                </c:pt>
                <c:pt idx="13">
                  <c:v>1.01</c:v>
                </c:pt>
                <c:pt idx="14">
                  <c:v>1.01</c:v>
                </c:pt>
                <c:pt idx="15">
                  <c:v>0.99</c:v>
                </c:pt>
                <c:pt idx="16">
                  <c:v>0.98</c:v>
                </c:pt>
                <c:pt idx="17">
                  <c:v>0.97</c:v>
                </c:pt>
                <c:pt idx="18">
                  <c:v>0.94</c:v>
                </c:pt>
                <c:pt idx="19">
                  <c:v>0.9</c:v>
                </c:pt>
                <c:pt idx="20">
                  <c:v>0.87</c:v>
                </c:pt>
                <c:pt idx="21">
                  <c:v>0.85</c:v>
                </c:pt>
                <c:pt idx="22">
                  <c:v>0.83</c:v>
                </c:pt>
                <c:pt idx="23">
                  <c:v>0.81</c:v>
                </c:pt>
                <c:pt idx="24">
                  <c:v>0.77</c:v>
                </c:pt>
                <c:pt idx="25">
                  <c:v>0.69</c:v>
                </c:pt>
                <c:pt idx="26">
                  <c:v>0.62</c:v>
                </c:pt>
                <c:pt idx="27">
                  <c:v>0.51</c:v>
                </c:pt>
                <c:pt idx="28">
                  <c:v>0.43</c:v>
                </c:pt>
                <c:pt idx="29">
                  <c:v>0.39</c:v>
                </c:pt>
                <c:pt idx="30">
                  <c:v>0.43</c:v>
                </c:pt>
                <c:pt idx="31">
                  <c:v>0.49</c:v>
                </c:pt>
                <c:pt idx="32">
                  <c:v>0.55000000000000004</c:v>
                </c:pt>
                <c:pt idx="33">
                  <c:v>0.61</c:v>
                </c:pt>
                <c:pt idx="34">
                  <c:v>0.67</c:v>
                </c:pt>
                <c:pt idx="35">
                  <c:v>0.72</c:v>
                </c:pt>
                <c:pt idx="36">
                  <c:v>0.75</c:v>
                </c:pt>
                <c:pt idx="37">
                  <c:v>0.77</c:v>
                </c:pt>
                <c:pt idx="38">
                  <c:v>0.78</c:v>
                </c:pt>
                <c:pt idx="39">
                  <c:v>0.84</c:v>
                </c:pt>
                <c:pt idx="40">
                  <c:v>0.95</c:v>
                </c:pt>
                <c:pt idx="41">
                  <c:v>1.08</c:v>
                </c:pt>
                <c:pt idx="42">
                  <c:v>1.18</c:v>
                </c:pt>
                <c:pt idx="43">
                  <c:v>1.26</c:v>
                </c:pt>
                <c:pt idx="44">
                  <c:v>1.31</c:v>
                </c:pt>
                <c:pt idx="45">
                  <c:v>1.28</c:v>
                </c:pt>
                <c:pt idx="46">
                  <c:v>1.21</c:v>
                </c:pt>
                <c:pt idx="47">
                  <c:v>1.1399999999999999</c:v>
                </c:pt>
                <c:pt idx="48">
                  <c:v>1.1599999999999999</c:v>
                </c:pt>
                <c:pt idx="49">
                  <c:v>1.22</c:v>
                </c:pt>
                <c:pt idx="50">
                  <c:v>1.26</c:v>
                </c:pt>
                <c:pt idx="51">
                  <c:v>1.31</c:v>
                </c:pt>
                <c:pt idx="52">
                  <c:v>1.33</c:v>
                </c:pt>
                <c:pt idx="53">
                  <c:v>1.36</c:v>
                </c:pt>
                <c:pt idx="54">
                  <c:v>1.34</c:v>
                </c:pt>
                <c:pt idx="55">
                  <c:v>1.33</c:v>
                </c:pt>
                <c:pt idx="56">
                  <c:v>1.26</c:v>
                </c:pt>
                <c:pt idx="57">
                  <c:v>1.18</c:v>
                </c:pt>
                <c:pt idx="58">
                  <c:v>1.1299999999999999</c:v>
                </c:pt>
                <c:pt idx="59">
                  <c:v>1.08</c:v>
                </c:pt>
                <c:pt idx="60">
                  <c:v>1.04</c:v>
                </c:pt>
                <c:pt idx="61">
                  <c:v>1.04</c:v>
                </c:pt>
                <c:pt idx="62">
                  <c:v>1.04</c:v>
                </c:pt>
                <c:pt idx="63">
                  <c:v>1.05</c:v>
                </c:pt>
                <c:pt idx="64">
                  <c:v>1</c:v>
                </c:pt>
                <c:pt idx="65">
                  <c:v>0.92</c:v>
                </c:pt>
                <c:pt idx="66">
                  <c:v>0.86</c:v>
                </c:pt>
                <c:pt idx="67">
                  <c:v>0.81</c:v>
                </c:pt>
                <c:pt idx="68">
                  <c:v>0.84</c:v>
                </c:pt>
                <c:pt idx="69">
                  <c:v>0.82</c:v>
                </c:pt>
                <c:pt idx="70">
                  <c:v>0.84</c:v>
                </c:pt>
                <c:pt idx="71">
                  <c:v>0.85</c:v>
                </c:pt>
                <c:pt idx="72">
                  <c:v>0.87</c:v>
                </c:pt>
                <c:pt idx="73">
                  <c:v>0.89</c:v>
                </c:pt>
                <c:pt idx="74">
                  <c:v>0.95</c:v>
                </c:pt>
                <c:pt idx="75">
                  <c:v>0.98</c:v>
                </c:pt>
                <c:pt idx="76">
                  <c:v>1.03</c:v>
                </c:pt>
                <c:pt idx="77">
                  <c:v>1.08</c:v>
                </c:pt>
                <c:pt idx="78">
                  <c:v>1.1000000000000001</c:v>
                </c:pt>
                <c:pt idx="79">
                  <c:v>1.1299999999999999</c:v>
                </c:pt>
                <c:pt idx="80">
                  <c:v>1.1499999999999999</c:v>
                </c:pt>
                <c:pt idx="81">
                  <c:v>1.1299999999999999</c:v>
                </c:pt>
                <c:pt idx="82">
                  <c:v>1.1000000000000001</c:v>
                </c:pt>
                <c:pt idx="83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2-48D7-AA71-DFD11FB83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5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nC4A!$A$7:$A$88</c:f>
              <c:numCache>
                <c:formatCode>mmm\-yy</c:formatCode>
                <c:ptCount val="82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43556</c:v>
                </c:pt>
                <c:pt idx="14">
                  <c:v>43586</c:v>
                </c:pt>
                <c:pt idx="15">
                  <c:v>43617</c:v>
                </c:pt>
                <c:pt idx="16">
                  <c:v>43647</c:v>
                </c:pt>
                <c:pt idx="17">
                  <c:v>43678</c:v>
                </c:pt>
                <c:pt idx="18">
                  <c:v>43709</c:v>
                </c:pt>
                <c:pt idx="19">
                  <c:v>43739</c:v>
                </c:pt>
                <c:pt idx="20">
                  <c:v>43770</c:v>
                </c:pt>
                <c:pt idx="21">
                  <c:v>43800</c:v>
                </c:pt>
                <c:pt idx="22">
                  <c:v>43831</c:v>
                </c:pt>
                <c:pt idx="23">
                  <c:v>43862</c:v>
                </c:pt>
                <c:pt idx="24">
                  <c:v>43891</c:v>
                </c:pt>
                <c:pt idx="25">
                  <c:v>43922</c:v>
                </c:pt>
                <c:pt idx="26">
                  <c:v>43952</c:v>
                </c:pt>
                <c:pt idx="27">
                  <c:v>43983</c:v>
                </c:pt>
                <c:pt idx="28">
                  <c:v>44013</c:v>
                </c:pt>
                <c:pt idx="29">
                  <c:v>44044</c:v>
                </c:pt>
                <c:pt idx="30">
                  <c:v>44075</c:v>
                </c:pt>
                <c:pt idx="31">
                  <c:v>44105</c:v>
                </c:pt>
                <c:pt idx="32">
                  <c:v>44136</c:v>
                </c:pt>
                <c:pt idx="33">
                  <c:v>44166</c:v>
                </c:pt>
                <c:pt idx="34">
                  <c:v>44197</c:v>
                </c:pt>
                <c:pt idx="35">
                  <c:v>44228</c:v>
                </c:pt>
                <c:pt idx="36">
                  <c:v>44256</c:v>
                </c:pt>
                <c:pt idx="37">
                  <c:v>44287</c:v>
                </c:pt>
                <c:pt idx="38">
                  <c:v>44317</c:v>
                </c:pt>
                <c:pt idx="39">
                  <c:v>44348</c:v>
                </c:pt>
                <c:pt idx="40">
                  <c:v>44378</c:v>
                </c:pt>
                <c:pt idx="41">
                  <c:v>44409</c:v>
                </c:pt>
                <c:pt idx="42">
                  <c:v>44440</c:v>
                </c:pt>
                <c:pt idx="43">
                  <c:v>44470</c:v>
                </c:pt>
                <c:pt idx="44">
                  <c:v>44501</c:v>
                </c:pt>
                <c:pt idx="45">
                  <c:v>44531</c:v>
                </c:pt>
                <c:pt idx="46">
                  <c:v>44562</c:v>
                </c:pt>
                <c:pt idx="47">
                  <c:v>44593</c:v>
                </c:pt>
                <c:pt idx="48">
                  <c:v>44621</c:v>
                </c:pt>
                <c:pt idx="49">
                  <c:v>44652</c:v>
                </c:pt>
                <c:pt idx="50">
                  <c:v>44682</c:v>
                </c:pt>
                <c:pt idx="51">
                  <c:v>44713</c:v>
                </c:pt>
                <c:pt idx="52">
                  <c:v>44743</c:v>
                </c:pt>
                <c:pt idx="53">
                  <c:v>44774</c:v>
                </c:pt>
                <c:pt idx="54">
                  <c:v>44805</c:v>
                </c:pt>
                <c:pt idx="55">
                  <c:v>44835</c:v>
                </c:pt>
                <c:pt idx="56">
                  <c:v>44866</c:v>
                </c:pt>
                <c:pt idx="57">
                  <c:v>44896</c:v>
                </c:pt>
                <c:pt idx="58">
                  <c:v>44927</c:v>
                </c:pt>
                <c:pt idx="59">
                  <c:v>44958</c:v>
                </c:pt>
                <c:pt idx="60">
                  <c:v>44986</c:v>
                </c:pt>
                <c:pt idx="61">
                  <c:v>45017</c:v>
                </c:pt>
                <c:pt idx="62">
                  <c:v>45047</c:v>
                </c:pt>
                <c:pt idx="63">
                  <c:v>45078</c:v>
                </c:pt>
                <c:pt idx="64">
                  <c:v>45108</c:v>
                </c:pt>
                <c:pt idx="65">
                  <c:v>45139</c:v>
                </c:pt>
                <c:pt idx="66">
                  <c:v>45170</c:v>
                </c:pt>
                <c:pt idx="67">
                  <c:v>45200</c:v>
                </c:pt>
                <c:pt idx="68">
                  <c:v>45231</c:v>
                </c:pt>
                <c:pt idx="69">
                  <c:v>45261</c:v>
                </c:pt>
                <c:pt idx="70">
                  <c:v>45292</c:v>
                </c:pt>
                <c:pt idx="71">
                  <c:v>45323</c:v>
                </c:pt>
                <c:pt idx="72">
                  <c:v>45352</c:v>
                </c:pt>
                <c:pt idx="73">
                  <c:v>45383</c:v>
                </c:pt>
                <c:pt idx="74">
                  <c:v>45413</c:v>
                </c:pt>
                <c:pt idx="75">
                  <c:v>45444</c:v>
                </c:pt>
                <c:pt idx="76">
                  <c:v>45474</c:v>
                </c:pt>
                <c:pt idx="77">
                  <c:v>45505</c:v>
                </c:pt>
                <c:pt idx="78">
                  <c:v>45536</c:v>
                </c:pt>
                <c:pt idx="79">
                  <c:v>45566</c:v>
                </c:pt>
                <c:pt idx="80">
                  <c:v>45597</c:v>
                </c:pt>
                <c:pt idx="81">
                  <c:v>45627</c:v>
                </c:pt>
              </c:numCache>
            </c:numRef>
          </c:xVal>
          <c:yVal>
            <c:numRef>
              <c:f>nC4A!$B$7:$B$88</c:f>
              <c:numCache>
                <c:formatCode>0.00</c:formatCode>
                <c:ptCount val="82"/>
                <c:pt idx="0">
                  <c:v>1.06</c:v>
                </c:pt>
                <c:pt idx="1">
                  <c:v>1.1399999999999999</c:v>
                </c:pt>
                <c:pt idx="2">
                  <c:v>1.22</c:v>
                </c:pt>
                <c:pt idx="3">
                  <c:v>1.2</c:v>
                </c:pt>
                <c:pt idx="4">
                  <c:v>1.28</c:v>
                </c:pt>
                <c:pt idx="5">
                  <c:v>1.32</c:v>
                </c:pt>
                <c:pt idx="6">
                  <c:v>1.34</c:v>
                </c:pt>
                <c:pt idx="7">
                  <c:v>1.3</c:v>
                </c:pt>
                <c:pt idx="8">
                  <c:v>1.22</c:v>
                </c:pt>
                <c:pt idx="9">
                  <c:v>1.1200000000000001</c:v>
                </c:pt>
                <c:pt idx="10">
                  <c:v>1.04</c:v>
                </c:pt>
                <c:pt idx="11">
                  <c:v>0.98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0.94</c:v>
                </c:pt>
                <c:pt idx="16">
                  <c:v>0.9</c:v>
                </c:pt>
                <c:pt idx="17">
                  <c:v>0.85</c:v>
                </c:pt>
                <c:pt idx="18">
                  <c:v>0.83</c:v>
                </c:pt>
                <c:pt idx="19">
                  <c:v>0.85</c:v>
                </c:pt>
                <c:pt idx="20">
                  <c:v>0.88</c:v>
                </c:pt>
                <c:pt idx="21">
                  <c:v>0.91</c:v>
                </c:pt>
                <c:pt idx="22">
                  <c:v>0.89</c:v>
                </c:pt>
                <c:pt idx="23">
                  <c:v>0.83</c:v>
                </c:pt>
                <c:pt idx="24">
                  <c:v>0.77</c:v>
                </c:pt>
                <c:pt idx="25">
                  <c:v>0.68</c:v>
                </c:pt>
                <c:pt idx="26">
                  <c:v>0.6</c:v>
                </c:pt>
                <c:pt idx="27">
                  <c:v>0.61</c:v>
                </c:pt>
                <c:pt idx="28">
                  <c:v>0.65</c:v>
                </c:pt>
                <c:pt idx="29">
                  <c:v>0.69</c:v>
                </c:pt>
                <c:pt idx="30">
                  <c:v>0.78</c:v>
                </c:pt>
                <c:pt idx="31">
                  <c:v>0.83</c:v>
                </c:pt>
                <c:pt idx="32">
                  <c:v>0.89</c:v>
                </c:pt>
                <c:pt idx="33">
                  <c:v>0.91</c:v>
                </c:pt>
                <c:pt idx="34">
                  <c:v>0.94</c:v>
                </c:pt>
                <c:pt idx="35">
                  <c:v>0.96</c:v>
                </c:pt>
                <c:pt idx="36">
                  <c:v>0.97</c:v>
                </c:pt>
                <c:pt idx="37">
                  <c:v>0.97</c:v>
                </c:pt>
                <c:pt idx="38">
                  <c:v>0.99</c:v>
                </c:pt>
                <c:pt idx="39">
                  <c:v>1</c:v>
                </c:pt>
                <c:pt idx="40">
                  <c:v>1</c:v>
                </c:pt>
                <c:pt idx="41">
                  <c:v>1.04</c:v>
                </c:pt>
                <c:pt idx="42">
                  <c:v>1.06</c:v>
                </c:pt>
                <c:pt idx="43">
                  <c:v>1.1200000000000001</c:v>
                </c:pt>
                <c:pt idx="44">
                  <c:v>1.1499999999999999</c:v>
                </c:pt>
                <c:pt idx="45">
                  <c:v>1.1399999999999999</c:v>
                </c:pt>
                <c:pt idx="46">
                  <c:v>1.1399999999999999</c:v>
                </c:pt>
                <c:pt idx="47">
                  <c:v>1.1399999999999999</c:v>
                </c:pt>
                <c:pt idx="48">
                  <c:v>1.21</c:v>
                </c:pt>
                <c:pt idx="49">
                  <c:v>1.24</c:v>
                </c:pt>
                <c:pt idx="50">
                  <c:v>1.18</c:v>
                </c:pt>
                <c:pt idx="51">
                  <c:v>1.17</c:v>
                </c:pt>
                <c:pt idx="52">
                  <c:v>1.1499999999999999</c:v>
                </c:pt>
                <c:pt idx="53">
                  <c:v>1.07</c:v>
                </c:pt>
                <c:pt idx="54">
                  <c:v>1.05</c:v>
                </c:pt>
                <c:pt idx="55">
                  <c:v>1.02</c:v>
                </c:pt>
                <c:pt idx="56">
                  <c:v>1.07</c:v>
                </c:pt>
                <c:pt idx="57">
                  <c:v>1.1100000000000001</c:v>
                </c:pt>
                <c:pt idx="58">
                  <c:v>1.1499999999999999</c:v>
                </c:pt>
                <c:pt idx="59">
                  <c:v>1.19</c:v>
                </c:pt>
                <c:pt idx="60">
                  <c:v>1.19</c:v>
                </c:pt>
                <c:pt idx="61">
                  <c:v>1.19</c:v>
                </c:pt>
                <c:pt idx="62">
                  <c:v>1.1499999999999999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1.1000000000000001</c:v>
                </c:pt>
                <c:pt idx="66">
                  <c:v>1.1100000000000001</c:v>
                </c:pt>
                <c:pt idx="67">
                  <c:v>1.1200000000000001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1.1399999999999999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1.1200000000000001</c:v>
                </c:pt>
                <c:pt idx="74">
                  <c:v>1.1299999999999999</c:v>
                </c:pt>
                <c:pt idx="75">
                  <c:v>1.1399999999999999</c:v>
                </c:pt>
                <c:pt idx="76">
                  <c:v>1.1599999999999999</c:v>
                </c:pt>
                <c:pt idx="77">
                  <c:v>1.17</c:v>
                </c:pt>
                <c:pt idx="78">
                  <c:v>1.23</c:v>
                </c:pt>
                <c:pt idx="79">
                  <c:v>1.22</c:v>
                </c:pt>
                <c:pt idx="80">
                  <c:v>1.18</c:v>
                </c:pt>
                <c:pt idx="81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9-42AC-9AC6-BC680A545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601601644079321E-2"/>
          <c:y val="3.7037037037037035E-2"/>
          <c:w val="0.89539374986142473"/>
          <c:h val="0.8437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PO!$B$5:$B$88</c:f>
              <c:numCache>
                <c:formatCode>0.00</c:formatCode>
                <c:ptCount val="84"/>
                <c:pt idx="0">
                  <c:v>1.26</c:v>
                </c:pt>
                <c:pt idx="1">
                  <c:v>1.28</c:v>
                </c:pt>
                <c:pt idx="2">
                  <c:v>1.28</c:v>
                </c:pt>
                <c:pt idx="3">
                  <c:v>1.33</c:v>
                </c:pt>
                <c:pt idx="4">
                  <c:v>1.34</c:v>
                </c:pt>
                <c:pt idx="5">
                  <c:v>1.36</c:v>
                </c:pt>
                <c:pt idx="6">
                  <c:v>1.4</c:v>
                </c:pt>
                <c:pt idx="7">
                  <c:v>1.42</c:v>
                </c:pt>
                <c:pt idx="8">
                  <c:v>1.46</c:v>
                </c:pt>
                <c:pt idx="9">
                  <c:v>1.48</c:v>
                </c:pt>
                <c:pt idx="10">
                  <c:v>1.46</c:v>
                </c:pt>
                <c:pt idx="11">
                  <c:v>1.46</c:v>
                </c:pt>
                <c:pt idx="12">
                  <c:v>1.46</c:v>
                </c:pt>
                <c:pt idx="13">
                  <c:v>1.46</c:v>
                </c:pt>
                <c:pt idx="14">
                  <c:v>1.45</c:v>
                </c:pt>
                <c:pt idx="15">
                  <c:v>1.41</c:v>
                </c:pt>
                <c:pt idx="16">
                  <c:v>1.38</c:v>
                </c:pt>
                <c:pt idx="17">
                  <c:v>1.37</c:v>
                </c:pt>
                <c:pt idx="18">
                  <c:v>1.31</c:v>
                </c:pt>
                <c:pt idx="19">
                  <c:v>1.28</c:v>
                </c:pt>
                <c:pt idx="20">
                  <c:v>1.23</c:v>
                </c:pt>
                <c:pt idx="21">
                  <c:v>1.21</c:v>
                </c:pt>
                <c:pt idx="22">
                  <c:v>1.19</c:v>
                </c:pt>
                <c:pt idx="23">
                  <c:v>1.2</c:v>
                </c:pt>
                <c:pt idx="24">
                  <c:v>1.21</c:v>
                </c:pt>
                <c:pt idx="25">
                  <c:v>1.18</c:v>
                </c:pt>
                <c:pt idx="26">
                  <c:v>1.2</c:v>
                </c:pt>
                <c:pt idx="27">
                  <c:v>1.1599999999999999</c:v>
                </c:pt>
                <c:pt idx="28">
                  <c:v>1.1299999999999999</c:v>
                </c:pt>
                <c:pt idx="29">
                  <c:v>1.1100000000000001</c:v>
                </c:pt>
                <c:pt idx="30">
                  <c:v>1.1100000000000001</c:v>
                </c:pt>
                <c:pt idx="31">
                  <c:v>1.1200000000000001</c:v>
                </c:pt>
                <c:pt idx="32">
                  <c:v>1.1499999999999999</c:v>
                </c:pt>
                <c:pt idx="33">
                  <c:v>1.18</c:v>
                </c:pt>
                <c:pt idx="34">
                  <c:v>1.19</c:v>
                </c:pt>
                <c:pt idx="35">
                  <c:v>1.21</c:v>
                </c:pt>
                <c:pt idx="36">
                  <c:v>1.25</c:v>
                </c:pt>
                <c:pt idx="37">
                  <c:v>1.28</c:v>
                </c:pt>
                <c:pt idx="38">
                  <c:v>1.31</c:v>
                </c:pt>
                <c:pt idx="39">
                  <c:v>1.35</c:v>
                </c:pt>
                <c:pt idx="40">
                  <c:v>1.4</c:v>
                </c:pt>
                <c:pt idx="41">
                  <c:v>1.41</c:v>
                </c:pt>
                <c:pt idx="42">
                  <c:v>1.46</c:v>
                </c:pt>
                <c:pt idx="43">
                  <c:v>1.54</c:v>
                </c:pt>
                <c:pt idx="44">
                  <c:v>1.63</c:v>
                </c:pt>
                <c:pt idx="45">
                  <c:v>1.65</c:v>
                </c:pt>
                <c:pt idx="46">
                  <c:v>1.65</c:v>
                </c:pt>
                <c:pt idx="47">
                  <c:v>1.66</c:v>
                </c:pt>
                <c:pt idx="48">
                  <c:v>1.69</c:v>
                </c:pt>
                <c:pt idx="49">
                  <c:v>1.71</c:v>
                </c:pt>
                <c:pt idx="50">
                  <c:v>1.7</c:v>
                </c:pt>
                <c:pt idx="51">
                  <c:v>1.73</c:v>
                </c:pt>
                <c:pt idx="52">
                  <c:v>1.73</c:v>
                </c:pt>
                <c:pt idx="53">
                  <c:v>1.79</c:v>
                </c:pt>
                <c:pt idx="54">
                  <c:v>1.75</c:v>
                </c:pt>
                <c:pt idx="55">
                  <c:v>1.74</c:v>
                </c:pt>
                <c:pt idx="56">
                  <c:v>1.72</c:v>
                </c:pt>
                <c:pt idx="57">
                  <c:v>1.66</c:v>
                </c:pt>
                <c:pt idx="58">
                  <c:v>1.65</c:v>
                </c:pt>
                <c:pt idx="59">
                  <c:v>1.66</c:v>
                </c:pt>
                <c:pt idx="60">
                  <c:v>1.65</c:v>
                </c:pt>
                <c:pt idx="61">
                  <c:v>1.65</c:v>
                </c:pt>
                <c:pt idx="62">
                  <c:v>1.67</c:v>
                </c:pt>
                <c:pt idx="63">
                  <c:v>1.74</c:v>
                </c:pt>
                <c:pt idx="64">
                  <c:v>1.74</c:v>
                </c:pt>
                <c:pt idx="65">
                  <c:v>1.73</c:v>
                </c:pt>
                <c:pt idx="66">
                  <c:v>1.7</c:v>
                </c:pt>
                <c:pt idx="67">
                  <c:v>1.64</c:v>
                </c:pt>
                <c:pt idx="68">
                  <c:v>1.62</c:v>
                </c:pt>
                <c:pt idx="69">
                  <c:v>1.62</c:v>
                </c:pt>
                <c:pt idx="70">
                  <c:v>1.64</c:v>
                </c:pt>
                <c:pt idx="71">
                  <c:v>1.68</c:v>
                </c:pt>
                <c:pt idx="72">
                  <c:v>1.66</c:v>
                </c:pt>
                <c:pt idx="73">
                  <c:v>1.59</c:v>
                </c:pt>
                <c:pt idx="74">
                  <c:v>1.6</c:v>
                </c:pt>
                <c:pt idx="75">
                  <c:v>1.61</c:v>
                </c:pt>
                <c:pt idx="76">
                  <c:v>1.64</c:v>
                </c:pt>
                <c:pt idx="77">
                  <c:v>1.64</c:v>
                </c:pt>
                <c:pt idx="78">
                  <c:v>1.64</c:v>
                </c:pt>
                <c:pt idx="79">
                  <c:v>1.65</c:v>
                </c:pt>
                <c:pt idx="80">
                  <c:v>1.65</c:v>
                </c:pt>
                <c:pt idx="81">
                  <c:v>1.61</c:v>
                </c:pt>
                <c:pt idx="82">
                  <c:v>1.62</c:v>
                </c:pt>
                <c:pt idx="83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4-4468-915E-E6C59B436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PG!$A$5:$A$88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PG!$B$5:$B$88</c:f>
              <c:numCache>
                <c:formatCode>0.00</c:formatCode>
                <c:ptCount val="84"/>
                <c:pt idx="0">
                  <c:v>1.64</c:v>
                </c:pt>
                <c:pt idx="1">
                  <c:v>1.64</c:v>
                </c:pt>
                <c:pt idx="2">
                  <c:v>1.65</c:v>
                </c:pt>
                <c:pt idx="3">
                  <c:v>1.66</c:v>
                </c:pt>
                <c:pt idx="4">
                  <c:v>1.64</c:v>
                </c:pt>
                <c:pt idx="5">
                  <c:v>1.65</c:v>
                </c:pt>
                <c:pt idx="6">
                  <c:v>1.64</c:v>
                </c:pt>
                <c:pt idx="7">
                  <c:v>1.62</c:v>
                </c:pt>
                <c:pt idx="8">
                  <c:v>1.63</c:v>
                </c:pt>
                <c:pt idx="9">
                  <c:v>1.6</c:v>
                </c:pt>
                <c:pt idx="10">
                  <c:v>1.57</c:v>
                </c:pt>
                <c:pt idx="11">
                  <c:v>1.56</c:v>
                </c:pt>
                <c:pt idx="12">
                  <c:v>1.54</c:v>
                </c:pt>
                <c:pt idx="13">
                  <c:v>1.52</c:v>
                </c:pt>
                <c:pt idx="14">
                  <c:v>1.49</c:v>
                </c:pt>
                <c:pt idx="15">
                  <c:v>1.45</c:v>
                </c:pt>
                <c:pt idx="16">
                  <c:v>1.42</c:v>
                </c:pt>
                <c:pt idx="17">
                  <c:v>1.39</c:v>
                </c:pt>
                <c:pt idx="18">
                  <c:v>1.34</c:v>
                </c:pt>
                <c:pt idx="19">
                  <c:v>1.3</c:v>
                </c:pt>
                <c:pt idx="20">
                  <c:v>1.27</c:v>
                </c:pt>
                <c:pt idx="21">
                  <c:v>1.27</c:v>
                </c:pt>
                <c:pt idx="22">
                  <c:v>1.27</c:v>
                </c:pt>
                <c:pt idx="23">
                  <c:v>1.28</c:v>
                </c:pt>
                <c:pt idx="24">
                  <c:v>1.26</c:v>
                </c:pt>
                <c:pt idx="25">
                  <c:v>1.22</c:v>
                </c:pt>
                <c:pt idx="26">
                  <c:v>1.22</c:v>
                </c:pt>
                <c:pt idx="27">
                  <c:v>1.17</c:v>
                </c:pt>
                <c:pt idx="28">
                  <c:v>1.21</c:v>
                </c:pt>
                <c:pt idx="29">
                  <c:v>1.1299999999999999</c:v>
                </c:pt>
                <c:pt idx="30">
                  <c:v>1.1399999999999999</c:v>
                </c:pt>
                <c:pt idx="31">
                  <c:v>1.17</c:v>
                </c:pt>
                <c:pt idx="32">
                  <c:v>1.21</c:v>
                </c:pt>
                <c:pt idx="33">
                  <c:v>1.29</c:v>
                </c:pt>
                <c:pt idx="34">
                  <c:v>1.4</c:v>
                </c:pt>
                <c:pt idx="35">
                  <c:v>1.52</c:v>
                </c:pt>
                <c:pt idx="36">
                  <c:v>1.69</c:v>
                </c:pt>
                <c:pt idx="37">
                  <c:v>1.93</c:v>
                </c:pt>
                <c:pt idx="38">
                  <c:v>2.14</c:v>
                </c:pt>
                <c:pt idx="39">
                  <c:v>2.38</c:v>
                </c:pt>
                <c:pt idx="40">
                  <c:v>2.65</c:v>
                </c:pt>
                <c:pt idx="41">
                  <c:v>2.72</c:v>
                </c:pt>
                <c:pt idx="42">
                  <c:v>2.67</c:v>
                </c:pt>
                <c:pt idx="43">
                  <c:v>2.67</c:v>
                </c:pt>
                <c:pt idx="44">
                  <c:v>2.69</c:v>
                </c:pt>
                <c:pt idx="45">
                  <c:v>2.76</c:v>
                </c:pt>
                <c:pt idx="46">
                  <c:v>2.85</c:v>
                </c:pt>
                <c:pt idx="47">
                  <c:v>2.97</c:v>
                </c:pt>
                <c:pt idx="48">
                  <c:v>3.07</c:v>
                </c:pt>
                <c:pt idx="49">
                  <c:v>3.14</c:v>
                </c:pt>
                <c:pt idx="50">
                  <c:v>3.04</c:v>
                </c:pt>
                <c:pt idx="51">
                  <c:v>2.9</c:v>
                </c:pt>
                <c:pt idx="52">
                  <c:v>2.76</c:v>
                </c:pt>
                <c:pt idx="53">
                  <c:v>2.72</c:v>
                </c:pt>
                <c:pt idx="54">
                  <c:v>2.57</c:v>
                </c:pt>
                <c:pt idx="55">
                  <c:v>2.46</c:v>
                </c:pt>
                <c:pt idx="56">
                  <c:v>2.36</c:v>
                </c:pt>
                <c:pt idx="57">
                  <c:v>2.25</c:v>
                </c:pt>
                <c:pt idx="58">
                  <c:v>2.23</c:v>
                </c:pt>
                <c:pt idx="59">
                  <c:v>2.2200000000000002</c:v>
                </c:pt>
                <c:pt idx="60">
                  <c:v>2.14</c:v>
                </c:pt>
                <c:pt idx="61">
                  <c:v>2</c:v>
                </c:pt>
                <c:pt idx="62">
                  <c:v>1.89</c:v>
                </c:pt>
                <c:pt idx="63">
                  <c:v>1.8</c:v>
                </c:pt>
                <c:pt idx="64">
                  <c:v>1.65</c:v>
                </c:pt>
                <c:pt idx="65">
                  <c:v>1.57</c:v>
                </c:pt>
                <c:pt idx="66">
                  <c:v>1.51</c:v>
                </c:pt>
                <c:pt idx="67">
                  <c:v>1.43</c:v>
                </c:pt>
                <c:pt idx="68">
                  <c:v>1.37</c:v>
                </c:pt>
                <c:pt idx="69">
                  <c:v>1.34</c:v>
                </c:pt>
                <c:pt idx="70">
                  <c:v>1.36</c:v>
                </c:pt>
                <c:pt idx="71">
                  <c:v>1.4</c:v>
                </c:pt>
                <c:pt idx="72">
                  <c:v>1.43</c:v>
                </c:pt>
                <c:pt idx="73">
                  <c:v>1.44</c:v>
                </c:pt>
                <c:pt idx="74">
                  <c:v>1.49</c:v>
                </c:pt>
                <c:pt idx="75">
                  <c:v>1.49</c:v>
                </c:pt>
                <c:pt idx="76">
                  <c:v>1.48</c:v>
                </c:pt>
                <c:pt idx="77">
                  <c:v>1.47</c:v>
                </c:pt>
                <c:pt idx="78">
                  <c:v>1.46</c:v>
                </c:pt>
                <c:pt idx="79">
                  <c:v>1.44</c:v>
                </c:pt>
                <c:pt idx="80">
                  <c:v>1.43</c:v>
                </c:pt>
                <c:pt idx="81">
                  <c:v>1.4</c:v>
                </c:pt>
                <c:pt idx="82">
                  <c:v>1.35</c:v>
                </c:pt>
                <c:pt idx="83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A-4E7F-8468-2204483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3.3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Styrene!$A$5:$A$88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Styrene!$B$5:$B$88</c:f>
              <c:numCache>
                <c:formatCode>0.00</c:formatCode>
                <c:ptCount val="84"/>
                <c:pt idx="0">
                  <c:v>1.08</c:v>
                </c:pt>
                <c:pt idx="1">
                  <c:v>1.0900000000000001</c:v>
                </c:pt>
                <c:pt idx="2">
                  <c:v>1.26</c:v>
                </c:pt>
                <c:pt idx="3">
                  <c:v>1.27</c:v>
                </c:pt>
                <c:pt idx="4">
                  <c:v>1.26</c:v>
                </c:pt>
                <c:pt idx="5">
                  <c:v>1.26</c:v>
                </c:pt>
                <c:pt idx="6">
                  <c:v>1.27</c:v>
                </c:pt>
                <c:pt idx="7">
                  <c:v>1.24</c:v>
                </c:pt>
                <c:pt idx="8">
                  <c:v>1.22</c:v>
                </c:pt>
                <c:pt idx="9">
                  <c:v>1.17</c:v>
                </c:pt>
                <c:pt idx="10">
                  <c:v>1.08</c:v>
                </c:pt>
                <c:pt idx="11">
                  <c:v>1.03</c:v>
                </c:pt>
                <c:pt idx="12">
                  <c:v>0.99</c:v>
                </c:pt>
                <c:pt idx="13">
                  <c:v>0.97</c:v>
                </c:pt>
                <c:pt idx="14">
                  <c:v>0.98</c:v>
                </c:pt>
                <c:pt idx="15">
                  <c:v>0.99</c:v>
                </c:pt>
                <c:pt idx="16">
                  <c:v>0.99</c:v>
                </c:pt>
                <c:pt idx="17">
                  <c:v>1</c:v>
                </c:pt>
                <c:pt idx="18">
                  <c:v>0.98</c:v>
                </c:pt>
                <c:pt idx="19">
                  <c:v>0.96</c:v>
                </c:pt>
                <c:pt idx="20">
                  <c:v>0.93</c:v>
                </c:pt>
                <c:pt idx="21">
                  <c:v>0.94</c:v>
                </c:pt>
                <c:pt idx="22">
                  <c:v>0.92</c:v>
                </c:pt>
                <c:pt idx="23">
                  <c:v>0.9</c:v>
                </c:pt>
                <c:pt idx="24">
                  <c:v>0.87</c:v>
                </c:pt>
                <c:pt idx="25">
                  <c:v>0.81</c:v>
                </c:pt>
                <c:pt idx="26">
                  <c:v>0.75</c:v>
                </c:pt>
                <c:pt idx="27">
                  <c:v>0.65</c:v>
                </c:pt>
                <c:pt idx="28">
                  <c:v>0.6</c:v>
                </c:pt>
                <c:pt idx="29">
                  <c:v>0.6</c:v>
                </c:pt>
                <c:pt idx="30">
                  <c:v>0.64</c:v>
                </c:pt>
                <c:pt idx="31">
                  <c:v>0.66</c:v>
                </c:pt>
                <c:pt idx="32">
                  <c:v>0.67</c:v>
                </c:pt>
                <c:pt idx="33">
                  <c:v>0.69</c:v>
                </c:pt>
                <c:pt idx="34">
                  <c:v>0.74</c:v>
                </c:pt>
                <c:pt idx="35">
                  <c:v>0.83</c:v>
                </c:pt>
                <c:pt idx="36">
                  <c:v>0.96</c:v>
                </c:pt>
                <c:pt idx="37">
                  <c:v>1.1100000000000001</c:v>
                </c:pt>
                <c:pt idx="38">
                  <c:v>1.28</c:v>
                </c:pt>
                <c:pt idx="39">
                  <c:v>1.41</c:v>
                </c:pt>
                <c:pt idx="40">
                  <c:v>1.53</c:v>
                </c:pt>
                <c:pt idx="41">
                  <c:v>1.44</c:v>
                </c:pt>
                <c:pt idx="42">
                  <c:v>1.32</c:v>
                </c:pt>
                <c:pt idx="43">
                  <c:v>1.26</c:v>
                </c:pt>
                <c:pt idx="44">
                  <c:v>1.24</c:v>
                </c:pt>
                <c:pt idx="45">
                  <c:v>1.26</c:v>
                </c:pt>
                <c:pt idx="46">
                  <c:v>1.31</c:v>
                </c:pt>
                <c:pt idx="47">
                  <c:v>1.37</c:v>
                </c:pt>
                <c:pt idx="48">
                  <c:v>1.45</c:v>
                </c:pt>
                <c:pt idx="49">
                  <c:v>1.53</c:v>
                </c:pt>
                <c:pt idx="50">
                  <c:v>1.59</c:v>
                </c:pt>
                <c:pt idx="51">
                  <c:v>1.67</c:v>
                </c:pt>
                <c:pt idx="52">
                  <c:v>1.7</c:v>
                </c:pt>
                <c:pt idx="53">
                  <c:v>1.71</c:v>
                </c:pt>
                <c:pt idx="54">
                  <c:v>1.6</c:v>
                </c:pt>
                <c:pt idx="55">
                  <c:v>1.48</c:v>
                </c:pt>
                <c:pt idx="56">
                  <c:v>1.36</c:v>
                </c:pt>
                <c:pt idx="57">
                  <c:v>1.25</c:v>
                </c:pt>
                <c:pt idx="58">
                  <c:v>1.24</c:v>
                </c:pt>
                <c:pt idx="59">
                  <c:v>1.25</c:v>
                </c:pt>
                <c:pt idx="60">
                  <c:v>1.23</c:v>
                </c:pt>
                <c:pt idx="61">
                  <c:v>1.21</c:v>
                </c:pt>
                <c:pt idx="62">
                  <c:v>1.19</c:v>
                </c:pt>
                <c:pt idx="63">
                  <c:v>1.18</c:v>
                </c:pt>
                <c:pt idx="64">
                  <c:v>1.1499999999999999</c:v>
                </c:pt>
                <c:pt idx="65">
                  <c:v>1.1599999999999999</c:v>
                </c:pt>
                <c:pt idx="66">
                  <c:v>1.2</c:v>
                </c:pt>
                <c:pt idx="67">
                  <c:v>1.23</c:v>
                </c:pt>
                <c:pt idx="68">
                  <c:v>1.24</c:v>
                </c:pt>
                <c:pt idx="69">
                  <c:v>1.21</c:v>
                </c:pt>
                <c:pt idx="70">
                  <c:v>1.18</c:v>
                </c:pt>
                <c:pt idx="71">
                  <c:v>1.17</c:v>
                </c:pt>
                <c:pt idx="72">
                  <c:v>1.18</c:v>
                </c:pt>
                <c:pt idx="73">
                  <c:v>1.25</c:v>
                </c:pt>
                <c:pt idx="74">
                  <c:v>1.36</c:v>
                </c:pt>
                <c:pt idx="75">
                  <c:v>1.4</c:v>
                </c:pt>
                <c:pt idx="76">
                  <c:v>1.39</c:v>
                </c:pt>
                <c:pt idx="77">
                  <c:v>1.38</c:v>
                </c:pt>
                <c:pt idx="78">
                  <c:v>1.34</c:v>
                </c:pt>
                <c:pt idx="79">
                  <c:v>1.3</c:v>
                </c:pt>
                <c:pt idx="80">
                  <c:v>1.32</c:v>
                </c:pt>
                <c:pt idx="81">
                  <c:v>1.28</c:v>
                </c:pt>
                <c:pt idx="82">
                  <c:v>1.2</c:v>
                </c:pt>
                <c:pt idx="83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F-4448-BEE0-81D293227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HCHO!$A$5:$A$88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HCHO!$B$5:$B$88</c:f>
              <c:numCache>
                <c:formatCode>0.00</c:formatCode>
                <c:ptCount val="84"/>
                <c:pt idx="0">
                  <c:v>0.76</c:v>
                </c:pt>
                <c:pt idx="1">
                  <c:v>0.78</c:v>
                </c:pt>
                <c:pt idx="2">
                  <c:v>0.83</c:v>
                </c:pt>
                <c:pt idx="3">
                  <c:v>0.89</c:v>
                </c:pt>
                <c:pt idx="4">
                  <c:v>0.9</c:v>
                </c:pt>
                <c:pt idx="5">
                  <c:v>0.91</c:v>
                </c:pt>
                <c:pt idx="6">
                  <c:v>0.93</c:v>
                </c:pt>
                <c:pt idx="7">
                  <c:v>0.92</c:v>
                </c:pt>
                <c:pt idx="8">
                  <c:v>0.91</c:v>
                </c:pt>
                <c:pt idx="9">
                  <c:v>0.87</c:v>
                </c:pt>
                <c:pt idx="10">
                  <c:v>0.85</c:v>
                </c:pt>
                <c:pt idx="11">
                  <c:v>0.82</c:v>
                </c:pt>
                <c:pt idx="12">
                  <c:v>0.82</c:v>
                </c:pt>
                <c:pt idx="13">
                  <c:v>0.84</c:v>
                </c:pt>
                <c:pt idx="14">
                  <c:v>0.9</c:v>
                </c:pt>
                <c:pt idx="15">
                  <c:v>0.92</c:v>
                </c:pt>
                <c:pt idx="16">
                  <c:v>0.95</c:v>
                </c:pt>
                <c:pt idx="17">
                  <c:v>0.96</c:v>
                </c:pt>
                <c:pt idx="18">
                  <c:v>0.94</c:v>
                </c:pt>
                <c:pt idx="19">
                  <c:v>0.9</c:v>
                </c:pt>
                <c:pt idx="20">
                  <c:v>0.87</c:v>
                </c:pt>
                <c:pt idx="21">
                  <c:v>0.86</c:v>
                </c:pt>
                <c:pt idx="22">
                  <c:v>0.87</c:v>
                </c:pt>
                <c:pt idx="23">
                  <c:v>0.86</c:v>
                </c:pt>
                <c:pt idx="24">
                  <c:v>0.86</c:v>
                </c:pt>
                <c:pt idx="25">
                  <c:v>0.8</c:v>
                </c:pt>
                <c:pt idx="26">
                  <c:v>0.76</c:v>
                </c:pt>
                <c:pt idx="27">
                  <c:v>0.69</c:v>
                </c:pt>
                <c:pt idx="28">
                  <c:v>0.63</c:v>
                </c:pt>
                <c:pt idx="29">
                  <c:v>0.61</c:v>
                </c:pt>
                <c:pt idx="30">
                  <c:v>0.61</c:v>
                </c:pt>
                <c:pt idx="31">
                  <c:v>0.63</c:v>
                </c:pt>
                <c:pt idx="32">
                  <c:v>0.63</c:v>
                </c:pt>
                <c:pt idx="33">
                  <c:v>0.63</c:v>
                </c:pt>
                <c:pt idx="34">
                  <c:v>0.65</c:v>
                </c:pt>
                <c:pt idx="35">
                  <c:v>0.7</c:v>
                </c:pt>
                <c:pt idx="36">
                  <c:v>0.76</c:v>
                </c:pt>
                <c:pt idx="37">
                  <c:v>0.8</c:v>
                </c:pt>
                <c:pt idx="38">
                  <c:v>0.85</c:v>
                </c:pt>
                <c:pt idx="39">
                  <c:v>0.9</c:v>
                </c:pt>
                <c:pt idx="40">
                  <c:v>0.95</c:v>
                </c:pt>
                <c:pt idx="41">
                  <c:v>0.94</c:v>
                </c:pt>
                <c:pt idx="42">
                  <c:v>0.92</c:v>
                </c:pt>
                <c:pt idx="43">
                  <c:v>0.94</c:v>
                </c:pt>
                <c:pt idx="44">
                  <c:v>0.96</c:v>
                </c:pt>
                <c:pt idx="45">
                  <c:v>0.97</c:v>
                </c:pt>
                <c:pt idx="46">
                  <c:v>0.96</c:v>
                </c:pt>
                <c:pt idx="47">
                  <c:v>1</c:v>
                </c:pt>
                <c:pt idx="48">
                  <c:v>1.03</c:v>
                </c:pt>
                <c:pt idx="49">
                  <c:v>1.1000000000000001</c:v>
                </c:pt>
                <c:pt idx="50">
                  <c:v>1.18</c:v>
                </c:pt>
                <c:pt idx="51">
                  <c:v>1.32</c:v>
                </c:pt>
                <c:pt idx="52">
                  <c:v>1.44</c:v>
                </c:pt>
                <c:pt idx="53">
                  <c:v>1.58</c:v>
                </c:pt>
                <c:pt idx="54">
                  <c:v>1.61</c:v>
                </c:pt>
                <c:pt idx="55">
                  <c:v>1.63</c:v>
                </c:pt>
                <c:pt idx="56">
                  <c:v>1.58</c:v>
                </c:pt>
                <c:pt idx="57">
                  <c:v>1.52</c:v>
                </c:pt>
                <c:pt idx="58">
                  <c:v>1.53</c:v>
                </c:pt>
                <c:pt idx="59">
                  <c:v>1.54</c:v>
                </c:pt>
                <c:pt idx="60">
                  <c:v>1.47</c:v>
                </c:pt>
                <c:pt idx="61">
                  <c:v>1.42</c:v>
                </c:pt>
                <c:pt idx="62">
                  <c:v>1.37</c:v>
                </c:pt>
                <c:pt idx="63">
                  <c:v>1.39</c:v>
                </c:pt>
                <c:pt idx="64">
                  <c:v>1.34</c:v>
                </c:pt>
                <c:pt idx="65">
                  <c:v>1.34</c:v>
                </c:pt>
                <c:pt idx="66">
                  <c:v>1.37</c:v>
                </c:pt>
                <c:pt idx="67">
                  <c:v>1.35</c:v>
                </c:pt>
                <c:pt idx="68">
                  <c:v>1.32</c:v>
                </c:pt>
                <c:pt idx="69">
                  <c:v>1.3</c:v>
                </c:pt>
                <c:pt idx="70">
                  <c:v>1.32</c:v>
                </c:pt>
                <c:pt idx="71">
                  <c:v>1.3</c:v>
                </c:pt>
                <c:pt idx="72">
                  <c:v>1.3</c:v>
                </c:pt>
                <c:pt idx="73">
                  <c:v>1.29</c:v>
                </c:pt>
                <c:pt idx="74">
                  <c:v>1.33</c:v>
                </c:pt>
                <c:pt idx="75">
                  <c:v>1.32</c:v>
                </c:pt>
                <c:pt idx="76">
                  <c:v>1.32</c:v>
                </c:pt>
                <c:pt idx="77">
                  <c:v>1.29</c:v>
                </c:pt>
                <c:pt idx="78">
                  <c:v>1.26</c:v>
                </c:pt>
                <c:pt idx="79">
                  <c:v>1.23</c:v>
                </c:pt>
                <c:pt idx="80">
                  <c:v>1.22</c:v>
                </c:pt>
                <c:pt idx="81">
                  <c:v>1.18</c:v>
                </c:pt>
                <c:pt idx="82">
                  <c:v>1.1499999999999999</c:v>
                </c:pt>
                <c:pt idx="83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0-4D4B-8502-7AE18BDBE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Pxylene!$A$5:$A$88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Pxylene!$B$5:$B$88</c:f>
              <c:numCache>
                <c:formatCode>0.00</c:formatCode>
                <c:ptCount val="84"/>
                <c:pt idx="0">
                  <c:v>0.83</c:v>
                </c:pt>
                <c:pt idx="1">
                  <c:v>0.9</c:v>
                </c:pt>
                <c:pt idx="2">
                  <c:v>0.91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1.04</c:v>
                </c:pt>
                <c:pt idx="7">
                  <c:v>1.07</c:v>
                </c:pt>
                <c:pt idx="8">
                  <c:v>1.1299999999999999</c:v>
                </c:pt>
                <c:pt idx="9">
                  <c:v>1.1299999999999999</c:v>
                </c:pt>
                <c:pt idx="10">
                  <c:v>1.1100000000000001</c:v>
                </c:pt>
                <c:pt idx="11">
                  <c:v>1.0900000000000001</c:v>
                </c:pt>
                <c:pt idx="12">
                  <c:v>1.1000000000000001</c:v>
                </c:pt>
                <c:pt idx="13">
                  <c:v>1.07</c:v>
                </c:pt>
                <c:pt idx="14">
                  <c:v>1.06</c:v>
                </c:pt>
                <c:pt idx="15">
                  <c:v>1.02</c:v>
                </c:pt>
                <c:pt idx="16">
                  <c:v>0.99</c:v>
                </c:pt>
                <c:pt idx="17">
                  <c:v>0.96</c:v>
                </c:pt>
                <c:pt idx="18">
                  <c:v>0.89</c:v>
                </c:pt>
                <c:pt idx="19">
                  <c:v>0.86</c:v>
                </c:pt>
                <c:pt idx="20">
                  <c:v>0.83</c:v>
                </c:pt>
                <c:pt idx="21">
                  <c:v>0.86</c:v>
                </c:pt>
                <c:pt idx="22">
                  <c:v>0.87</c:v>
                </c:pt>
                <c:pt idx="23">
                  <c:v>0.9</c:v>
                </c:pt>
                <c:pt idx="24">
                  <c:v>0.92</c:v>
                </c:pt>
                <c:pt idx="25">
                  <c:v>0.85</c:v>
                </c:pt>
                <c:pt idx="26">
                  <c:v>0.66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0.56999999999999995</c:v>
                </c:pt>
                <c:pt idx="30">
                  <c:v>0.59</c:v>
                </c:pt>
                <c:pt idx="31">
                  <c:v>0.54</c:v>
                </c:pt>
                <c:pt idx="32">
                  <c:v>0.56000000000000005</c:v>
                </c:pt>
                <c:pt idx="33">
                  <c:v>0.55000000000000004</c:v>
                </c:pt>
                <c:pt idx="34">
                  <c:v>0.61</c:v>
                </c:pt>
                <c:pt idx="35">
                  <c:v>0.66</c:v>
                </c:pt>
                <c:pt idx="36">
                  <c:v>0.74</c:v>
                </c:pt>
                <c:pt idx="37">
                  <c:v>0.81</c:v>
                </c:pt>
                <c:pt idx="38">
                  <c:v>0.94</c:v>
                </c:pt>
                <c:pt idx="39">
                  <c:v>0.94</c:v>
                </c:pt>
                <c:pt idx="40">
                  <c:v>0.97</c:v>
                </c:pt>
                <c:pt idx="41">
                  <c:v>0.97</c:v>
                </c:pt>
                <c:pt idx="42">
                  <c:v>1.02</c:v>
                </c:pt>
                <c:pt idx="43">
                  <c:v>1.05</c:v>
                </c:pt>
                <c:pt idx="44">
                  <c:v>1.03</c:v>
                </c:pt>
                <c:pt idx="45">
                  <c:v>1.08</c:v>
                </c:pt>
                <c:pt idx="46">
                  <c:v>1.07</c:v>
                </c:pt>
                <c:pt idx="47">
                  <c:v>1.04</c:v>
                </c:pt>
                <c:pt idx="48">
                  <c:v>1.1100000000000001</c:v>
                </c:pt>
                <c:pt idx="49">
                  <c:v>1.22</c:v>
                </c:pt>
                <c:pt idx="50">
                  <c:v>1.36</c:v>
                </c:pt>
                <c:pt idx="51">
                  <c:v>1.35</c:v>
                </c:pt>
                <c:pt idx="52">
                  <c:v>1.38</c:v>
                </c:pt>
                <c:pt idx="53">
                  <c:v>1.68</c:v>
                </c:pt>
                <c:pt idx="54">
                  <c:v>1.54</c:v>
                </c:pt>
                <c:pt idx="55">
                  <c:v>1.37</c:v>
                </c:pt>
                <c:pt idx="56">
                  <c:v>1.27</c:v>
                </c:pt>
                <c:pt idx="57">
                  <c:v>1.27</c:v>
                </c:pt>
                <c:pt idx="58">
                  <c:v>1.27</c:v>
                </c:pt>
                <c:pt idx="59">
                  <c:v>1.1200000000000001</c:v>
                </c:pt>
                <c:pt idx="60">
                  <c:v>1.18</c:v>
                </c:pt>
                <c:pt idx="61">
                  <c:v>1.1399999999999999</c:v>
                </c:pt>
                <c:pt idx="62">
                  <c:v>1.1299999999999999</c:v>
                </c:pt>
                <c:pt idx="63">
                  <c:v>1.2</c:v>
                </c:pt>
                <c:pt idx="64">
                  <c:v>1.1000000000000001</c:v>
                </c:pt>
                <c:pt idx="65">
                  <c:v>1.1200000000000001</c:v>
                </c:pt>
                <c:pt idx="66">
                  <c:v>1.19</c:v>
                </c:pt>
                <c:pt idx="67">
                  <c:v>1.2</c:v>
                </c:pt>
                <c:pt idx="68">
                  <c:v>1.23</c:v>
                </c:pt>
                <c:pt idx="69">
                  <c:v>1.18</c:v>
                </c:pt>
                <c:pt idx="70">
                  <c:v>1.1200000000000001</c:v>
                </c:pt>
                <c:pt idx="71">
                  <c:v>1.0900000000000001</c:v>
                </c:pt>
                <c:pt idx="72">
                  <c:v>1.1200000000000001</c:v>
                </c:pt>
                <c:pt idx="73">
                  <c:v>1.1499999999999999</c:v>
                </c:pt>
                <c:pt idx="74">
                  <c:v>1.17</c:v>
                </c:pt>
                <c:pt idx="75">
                  <c:v>1.17</c:v>
                </c:pt>
                <c:pt idx="76">
                  <c:v>1.1499999999999999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1.1000000000000001</c:v>
                </c:pt>
                <c:pt idx="80">
                  <c:v>1</c:v>
                </c:pt>
                <c:pt idx="81">
                  <c:v>0.98</c:v>
                </c:pt>
                <c:pt idx="82">
                  <c:v>0.93</c:v>
                </c:pt>
                <c:pt idx="83">
                  <c:v>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3-450F-B3C4-13CD0E54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Diesel!$A$5:$A$88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Diesel!$B$5:$B$88</c:f>
              <c:numCache>
                <c:formatCode>0.00</c:formatCode>
                <c:ptCount val="84"/>
                <c:pt idx="0">
                  <c:v>1.71</c:v>
                </c:pt>
                <c:pt idx="1">
                  <c:v>1.74</c:v>
                </c:pt>
                <c:pt idx="2">
                  <c:v>1.81</c:v>
                </c:pt>
                <c:pt idx="3">
                  <c:v>1.87</c:v>
                </c:pt>
                <c:pt idx="4">
                  <c:v>1.99</c:v>
                </c:pt>
                <c:pt idx="5">
                  <c:v>1.95</c:v>
                </c:pt>
                <c:pt idx="6">
                  <c:v>1.96</c:v>
                </c:pt>
                <c:pt idx="7">
                  <c:v>2.04</c:v>
                </c:pt>
                <c:pt idx="8">
                  <c:v>2.12</c:v>
                </c:pt>
                <c:pt idx="9">
                  <c:v>2.11</c:v>
                </c:pt>
                <c:pt idx="10">
                  <c:v>2.11</c:v>
                </c:pt>
                <c:pt idx="11">
                  <c:v>2.0299999999999998</c:v>
                </c:pt>
                <c:pt idx="12">
                  <c:v>2.06</c:v>
                </c:pt>
                <c:pt idx="13">
                  <c:v>2.09</c:v>
                </c:pt>
                <c:pt idx="14">
                  <c:v>1.86</c:v>
                </c:pt>
                <c:pt idx="15">
                  <c:v>1.74</c:v>
                </c:pt>
                <c:pt idx="16">
                  <c:v>1.79</c:v>
                </c:pt>
                <c:pt idx="17">
                  <c:v>1.84</c:v>
                </c:pt>
                <c:pt idx="18">
                  <c:v>1.87</c:v>
                </c:pt>
                <c:pt idx="19">
                  <c:v>1.95</c:v>
                </c:pt>
                <c:pt idx="20">
                  <c:v>1.93</c:v>
                </c:pt>
                <c:pt idx="21">
                  <c:v>1.82</c:v>
                </c:pt>
                <c:pt idx="22">
                  <c:v>1.85</c:v>
                </c:pt>
                <c:pt idx="23">
                  <c:v>1.78</c:v>
                </c:pt>
                <c:pt idx="24">
                  <c:v>1.83</c:v>
                </c:pt>
                <c:pt idx="25">
                  <c:v>1.74</c:v>
                </c:pt>
                <c:pt idx="26">
                  <c:v>1.75</c:v>
                </c:pt>
                <c:pt idx="27">
                  <c:v>1.74</c:v>
                </c:pt>
                <c:pt idx="28">
                  <c:v>1.67</c:v>
                </c:pt>
                <c:pt idx="29">
                  <c:v>1.55</c:v>
                </c:pt>
                <c:pt idx="30">
                  <c:v>1.17</c:v>
                </c:pt>
                <c:pt idx="31">
                  <c:v>0.95</c:v>
                </c:pt>
                <c:pt idx="32">
                  <c:v>1.1399999999999999</c:v>
                </c:pt>
                <c:pt idx="33">
                  <c:v>1.31</c:v>
                </c:pt>
                <c:pt idx="34">
                  <c:v>1.36</c:v>
                </c:pt>
                <c:pt idx="35">
                  <c:v>1.47</c:v>
                </c:pt>
                <c:pt idx="36">
                  <c:v>1.54</c:v>
                </c:pt>
                <c:pt idx="37">
                  <c:v>1.59</c:v>
                </c:pt>
                <c:pt idx="38">
                  <c:v>1.59</c:v>
                </c:pt>
                <c:pt idx="39">
                  <c:v>1.58</c:v>
                </c:pt>
                <c:pt idx="40">
                  <c:v>1.63</c:v>
                </c:pt>
                <c:pt idx="41">
                  <c:v>1.68</c:v>
                </c:pt>
                <c:pt idx="42">
                  <c:v>1.68</c:v>
                </c:pt>
                <c:pt idx="43">
                  <c:v>1.65</c:v>
                </c:pt>
                <c:pt idx="44">
                  <c:v>1.71</c:v>
                </c:pt>
                <c:pt idx="45">
                  <c:v>1.82</c:v>
                </c:pt>
                <c:pt idx="46">
                  <c:v>1.84</c:v>
                </c:pt>
                <c:pt idx="47">
                  <c:v>1.77</c:v>
                </c:pt>
                <c:pt idx="48">
                  <c:v>1.84</c:v>
                </c:pt>
                <c:pt idx="49">
                  <c:v>1.92</c:v>
                </c:pt>
                <c:pt idx="50">
                  <c:v>2.3199999999999998</c:v>
                </c:pt>
                <c:pt idx="51">
                  <c:v>2.25</c:v>
                </c:pt>
                <c:pt idx="52">
                  <c:v>2.15</c:v>
                </c:pt>
                <c:pt idx="53">
                  <c:v>2.2000000000000002</c:v>
                </c:pt>
                <c:pt idx="54">
                  <c:v>2.11</c:v>
                </c:pt>
                <c:pt idx="55">
                  <c:v>2.04</c:v>
                </c:pt>
                <c:pt idx="56">
                  <c:v>2.0299999999999998</c:v>
                </c:pt>
                <c:pt idx="57">
                  <c:v>2.02</c:v>
                </c:pt>
                <c:pt idx="58">
                  <c:v>2.06</c:v>
                </c:pt>
                <c:pt idx="59">
                  <c:v>1.95</c:v>
                </c:pt>
                <c:pt idx="60">
                  <c:v>1.99</c:v>
                </c:pt>
                <c:pt idx="61">
                  <c:v>1.92</c:v>
                </c:pt>
                <c:pt idx="62">
                  <c:v>1.82</c:v>
                </c:pt>
                <c:pt idx="63">
                  <c:v>1.8</c:v>
                </c:pt>
                <c:pt idx="64">
                  <c:v>1.69</c:v>
                </c:pt>
                <c:pt idx="65">
                  <c:v>1.67</c:v>
                </c:pt>
                <c:pt idx="66">
                  <c:v>1.8</c:v>
                </c:pt>
                <c:pt idx="67">
                  <c:v>1.92</c:v>
                </c:pt>
                <c:pt idx="68">
                  <c:v>1.98</c:v>
                </c:pt>
                <c:pt idx="69">
                  <c:v>1.94</c:v>
                </c:pt>
                <c:pt idx="70">
                  <c:v>1.9</c:v>
                </c:pt>
                <c:pt idx="71">
                  <c:v>1.87</c:v>
                </c:pt>
                <c:pt idx="72">
                  <c:v>1.87</c:v>
                </c:pt>
                <c:pt idx="73">
                  <c:v>1.9</c:v>
                </c:pt>
                <c:pt idx="74">
                  <c:v>1.89</c:v>
                </c:pt>
                <c:pt idx="75">
                  <c:v>1.83</c:v>
                </c:pt>
                <c:pt idx="76">
                  <c:v>1.79</c:v>
                </c:pt>
                <c:pt idx="77">
                  <c:v>1.78</c:v>
                </c:pt>
                <c:pt idx="78">
                  <c:v>1.79</c:v>
                </c:pt>
                <c:pt idx="79">
                  <c:v>1.77</c:v>
                </c:pt>
                <c:pt idx="80">
                  <c:v>1.71</c:v>
                </c:pt>
                <c:pt idx="81">
                  <c:v>1.71</c:v>
                </c:pt>
                <c:pt idx="82">
                  <c:v>1.73</c:v>
                </c:pt>
                <c:pt idx="83">
                  <c:v>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18-4DC4-9359-552D0233A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6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VLSFO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VGO!$A$27:$A$88</c:f>
              <c:numCache>
                <c:formatCode>mmm\-yy</c:formatCode>
                <c:ptCount val="62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</c:numCache>
            </c:numRef>
          </c:xVal>
          <c:yVal>
            <c:numRef>
              <c:f>VGO!$B$27:$B$88</c:f>
              <c:numCache>
                <c:formatCode>0.00</c:formatCode>
                <c:ptCount val="62"/>
                <c:pt idx="0">
                  <c:v>0.56000000000000005</c:v>
                </c:pt>
                <c:pt idx="1">
                  <c:v>0.61</c:v>
                </c:pt>
                <c:pt idx="2">
                  <c:v>0.65</c:v>
                </c:pt>
                <c:pt idx="3">
                  <c:v>0.53</c:v>
                </c:pt>
                <c:pt idx="4">
                  <c:v>0.35</c:v>
                </c:pt>
                <c:pt idx="5">
                  <c:v>0.25</c:v>
                </c:pt>
                <c:pt idx="6">
                  <c:v>0.26</c:v>
                </c:pt>
                <c:pt idx="7">
                  <c:v>0.32</c:v>
                </c:pt>
                <c:pt idx="8">
                  <c:v>0.34</c:v>
                </c:pt>
                <c:pt idx="9">
                  <c:v>0.35</c:v>
                </c:pt>
                <c:pt idx="10">
                  <c:v>0.33</c:v>
                </c:pt>
                <c:pt idx="11">
                  <c:v>0.33</c:v>
                </c:pt>
                <c:pt idx="12">
                  <c:v>0.38</c:v>
                </c:pt>
                <c:pt idx="13">
                  <c:v>0.41</c:v>
                </c:pt>
                <c:pt idx="14">
                  <c:v>0.45</c:v>
                </c:pt>
                <c:pt idx="15">
                  <c:v>0.5</c:v>
                </c:pt>
                <c:pt idx="16">
                  <c:v>0.52</c:v>
                </c:pt>
                <c:pt idx="17">
                  <c:v>0.5</c:v>
                </c:pt>
                <c:pt idx="18">
                  <c:v>0.52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0.54</c:v>
                </c:pt>
                <c:pt idx="22">
                  <c:v>0.56000000000000005</c:v>
                </c:pt>
                <c:pt idx="23">
                  <c:v>0.62</c:v>
                </c:pt>
                <c:pt idx="24">
                  <c:v>0.62</c:v>
                </c:pt>
                <c:pt idx="25">
                  <c:v>0.6</c:v>
                </c:pt>
                <c:pt idx="26">
                  <c:v>0.67</c:v>
                </c:pt>
                <c:pt idx="27">
                  <c:v>0.74</c:v>
                </c:pt>
                <c:pt idx="28">
                  <c:v>0.92</c:v>
                </c:pt>
                <c:pt idx="29">
                  <c:v>0.91</c:v>
                </c:pt>
                <c:pt idx="30">
                  <c:v>0.95</c:v>
                </c:pt>
                <c:pt idx="31">
                  <c:v>1.08</c:v>
                </c:pt>
                <c:pt idx="32">
                  <c:v>0.98</c:v>
                </c:pt>
                <c:pt idx="33">
                  <c:v>0.82</c:v>
                </c:pt>
                <c:pt idx="34">
                  <c:v>0.75</c:v>
                </c:pt>
                <c:pt idx="35">
                  <c:v>0.75</c:v>
                </c:pt>
                <c:pt idx="36">
                  <c:v>0.71</c:v>
                </c:pt>
                <c:pt idx="37">
                  <c:v>0.65</c:v>
                </c:pt>
                <c:pt idx="38">
                  <c:v>0.67</c:v>
                </c:pt>
                <c:pt idx="39">
                  <c:v>0.66</c:v>
                </c:pt>
                <c:pt idx="40">
                  <c:v>0.62</c:v>
                </c:pt>
                <c:pt idx="41">
                  <c:v>0.63</c:v>
                </c:pt>
                <c:pt idx="42">
                  <c:v>0.57999999999999996</c:v>
                </c:pt>
                <c:pt idx="43">
                  <c:v>0.6</c:v>
                </c:pt>
                <c:pt idx="44">
                  <c:v>0.6</c:v>
                </c:pt>
                <c:pt idx="45">
                  <c:v>0.65</c:v>
                </c:pt>
                <c:pt idx="46">
                  <c:v>0.68</c:v>
                </c:pt>
                <c:pt idx="47">
                  <c:v>0.67</c:v>
                </c:pt>
                <c:pt idx="48">
                  <c:v>0.67</c:v>
                </c:pt>
                <c:pt idx="49">
                  <c:v>0.63</c:v>
                </c:pt>
                <c:pt idx="50">
                  <c:v>0.64</c:v>
                </c:pt>
                <c:pt idx="51">
                  <c:v>0.66</c:v>
                </c:pt>
                <c:pt idx="52">
                  <c:v>0.66</c:v>
                </c:pt>
                <c:pt idx="53">
                  <c:v>0.67</c:v>
                </c:pt>
                <c:pt idx="54">
                  <c:v>0.66</c:v>
                </c:pt>
                <c:pt idx="55">
                  <c:v>0.61</c:v>
                </c:pt>
                <c:pt idx="56">
                  <c:v>0.64</c:v>
                </c:pt>
                <c:pt idx="57">
                  <c:v>0.62</c:v>
                </c:pt>
                <c:pt idx="58">
                  <c:v>0.63</c:v>
                </c:pt>
                <c:pt idx="59">
                  <c:v>0.59</c:v>
                </c:pt>
                <c:pt idx="60">
                  <c:v>0.6</c:v>
                </c:pt>
                <c:pt idx="6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30-46AA-B32A-6A903F6B5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1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iCfourE!$A$5:$A$88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iCfourE!$B$5:$B$88</c:f>
              <c:numCache>
                <c:formatCode>0.00</c:formatCode>
                <c:ptCount val="84"/>
                <c:pt idx="0">
                  <c:v>2.92</c:v>
                </c:pt>
                <c:pt idx="1">
                  <c:v>3.14</c:v>
                </c:pt>
                <c:pt idx="2">
                  <c:v>2.97</c:v>
                </c:pt>
                <c:pt idx="3">
                  <c:v>3.01</c:v>
                </c:pt>
                <c:pt idx="4">
                  <c:v>3.06</c:v>
                </c:pt>
                <c:pt idx="5">
                  <c:v>3.1</c:v>
                </c:pt>
                <c:pt idx="6">
                  <c:v>3.13</c:v>
                </c:pt>
                <c:pt idx="7">
                  <c:v>3.09</c:v>
                </c:pt>
                <c:pt idx="8">
                  <c:v>3.16</c:v>
                </c:pt>
                <c:pt idx="9">
                  <c:v>3.1</c:v>
                </c:pt>
                <c:pt idx="10">
                  <c:v>3.05</c:v>
                </c:pt>
                <c:pt idx="11">
                  <c:v>3.06</c:v>
                </c:pt>
                <c:pt idx="12">
                  <c:v>3.07</c:v>
                </c:pt>
                <c:pt idx="13">
                  <c:v>3.04</c:v>
                </c:pt>
                <c:pt idx="14">
                  <c:v>3.11</c:v>
                </c:pt>
                <c:pt idx="15">
                  <c:v>3.1</c:v>
                </c:pt>
                <c:pt idx="16">
                  <c:v>3.14</c:v>
                </c:pt>
                <c:pt idx="17">
                  <c:v>3.21</c:v>
                </c:pt>
                <c:pt idx="18">
                  <c:v>3.06</c:v>
                </c:pt>
                <c:pt idx="19">
                  <c:v>3.16</c:v>
                </c:pt>
                <c:pt idx="20">
                  <c:v>3.07</c:v>
                </c:pt>
                <c:pt idx="21">
                  <c:v>3.07</c:v>
                </c:pt>
                <c:pt idx="22">
                  <c:v>3</c:v>
                </c:pt>
                <c:pt idx="23">
                  <c:v>2.98</c:v>
                </c:pt>
                <c:pt idx="24">
                  <c:v>3.02</c:v>
                </c:pt>
                <c:pt idx="25">
                  <c:v>2.99</c:v>
                </c:pt>
                <c:pt idx="26">
                  <c:v>3.09</c:v>
                </c:pt>
                <c:pt idx="27">
                  <c:v>3.04</c:v>
                </c:pt>
                <c:pt idx="28">
                  <c:v>2.96</c:v>
                </c:pt>
                <c:pt idx="29">
                  <c:v>2.93</c:v>
                </c:pt>
                <c:pt idx="30">
                  <c:v>2.89</c:v>
                </c:pt>
                <c:pt idx="31">
                  <c:v>2.83</c:v>
                </c:pt>
                <c:pt idx="32">
                  <c:v>2.68</c:v>
                </c:pt>
                <c:pt idx="33">
                  <c:v>2.64</c:v>
                </c:pt>
                <c:pt idx="34">
                  <c:v>2.65</c:v>
                </c:pt>
                <c:pt idx="35">
                  <c:v>2.73</c:v>
                </c:pt>
                <c:pt idx="36">
                  <c:v>2.75</c:v>
                </c:pt>
                <c:pt idx="37">
                  <c:v>2.81</c:v>
                </c:pt>
                <c:pt idx="38">
                  <c:v>2.79</c:v>
                </c:pt>
                <c:pt idx="39">
                  <c:v>2.87</c:v>
                </c:pt>
                <c:pt idx="40">
                  <c:v>2.96</c:v>
                </c:pt>
                <c:pt idx="41">
                  <c:v>2.97</c:v>
                </c:pt>
                <c:pt idx="42">
                  <c:v>2.89</c:v>
                </c:pt>
                <c:pt idx="43">
                  <c:v>2.95</c:v>
                </c:pt>
                <c:pt idx="44">
                  <c:v>2.94</c:v>
                </c:pt>
                <c:pt idx="45">
                  <c:v>2.9</c:v>
                </c:pt>
                <c:pt idx="46">
                  <c:v>2.9</c:v>
                </c:pt>
                <c:pt idx="47">
                  <c:v>2.96</c:v>
                </c:pt>
                <c:pt idx="48">
                  <c:v>3</c:v>
                </c:pt>
                <c:pt idx="49">
                  <c:v>3.09</c:v>
                </c:pt>
                <c:pt idx="50">
                  <c:v>3.13</c:v>
                </c:pt>
                <c:pt idx="51">
                  <c:v>3.23</c:v>
                </c:pt>
                <c:pt idx="52">
                  <c:v>3.25</c:v>
                </c:pt>
                <c:pt idx="53">
                  <c:v>3.42</c:v>
                </c:pt>
                <c:pt idx="54">
                  <c:v>3.54</c:v>
                </c:pt>
                <c:pt idx="55">
                  <c:v>3.58</c:v>
                </c:pt>
                <c:pt idx="56">
                  <c:v>3.55</c:v>
                </c:pt>
                <c:pt idx="57">
                  <c:v>3.49</c:v>
                </c:pt>
                <c:pt idx="58">
                  <c:v>3.53</c:v>
                </c:pt>
                <c:pt idx="59">
                  <c:v>3.46</c:v>
                </c:pt>
                <c:pt idx="60">
                  <c:v>3.37</c:v>
                </c:pt>
                <c:pt idx="61">
                  <c:v>3.17</c:v>
                </c:pt>
                <c:pt idx="62">
                  <c:v>3.07</c:v>
                </c:pt>
                <c:pt idx="63">
                  <c:v>3.06</c:v>
                </c:pt>
                <c:pt idx="64">
                  <c:v>2.98</c:v>
                </c:pt>
                <c:pt idx="65">
                  <c:v>2.97</c:v>
                </c:pt>
                <c:pt idx="66">
                  <c:v>3.07</c:v>
                </c:pt>
                <c:pt idx="67">
                  <c:v>3.01</c:v>
                </c:pt>
                <c:pt idx="68">
                  <c:v>2.99</c:v>
                </c:pt>
                <c:pt idx="69">
                  <c:v>3.04</c:v>
                </c:pt>
                <c:pt idx="70">
                  <c:v>3.04</c:v>
                </c:pt>
                <c:pt idx="71">
                  <c:v>3.05</c:v>
                </c:pt>
                <c:pt idx="72">
                  <c:v>3.02</c:v>
                </c:pt>
                <c:pt idx="73">
                  <c:v>2.97</c:v>
                </c:pt>
                <c:pt idx="74">
                  <c:v>2.93</c:v>
                </c:pt>
                <c:pt idx="75">
                  <c:v>2.95</c:v>
                </c:pt>
                <c:pt idx="76">
                  <c:v>2.99</c:v>
                </c:pt>
                <c:pt idx="77">
                  <c:v>3.06</c:v>
                </c:pt>
                <c:pt idx="78">
                  <c:v>3.13</c:v>
                </c:pt>
                <c:pt idx="79">
                  <c:v>3.15</c:v>
                </c:pt>
                <c:pt idx="80">
                  <c:v>3.19</c:v>
                </c:pt>
                <c:pt idx="81">
                  <c:v>3.11</c:v>
                </c:pt>
                <c:pt idx="82">
                  <c:v>3</c:v>
                </c:pt>
                <c:pt idx="83">
                  <c:v>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CF-4E6F-AC02-AFD62168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3.8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PP!$A$5:$A$88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PP!$B$5:$B$88</c:f>
              <c:numCache>
                <c:formatCode>0.00</c:formatCode>
                <c:ptCount val="84"/>
                <c:pt idx="0">
                  <c:v>1.4</c:v>
                </c:pt>
                <c:pt idx="1">
                  <c:v>1.53</c:v>
                </c:pt>
                <c:pt idx="2">
                  <c:v>1.53</c:v>
                </c:pt>
                <c:pt idx="3">
                  <c:v>1.5</c:v>
                </c:pt>
                <c:pt idx="4">
                  <c:v>1.51</c:v>
                </c:pt>
                <c:pt idx="5">
                  <c:v>1.52</c:v>
                </c:pt>
                <c:pt idx="6">
                  <c:v>1.51</c:v>
                </c:pt>
                <c:pt idx="7">
                  <c:v>1.48</c:v>
                </c:pt>
                <c:pt idx="8">
                  <c:v>1.49</c:v>
                </c:pt>
                <c:pt idx="9">
                  <c:v>1.48</c:v>
                </c:pt>
                <c:pt idx="10">
                  <c:v>1.46</c:v>
                </c:pt>
                <c:pt idx="11">
                  <c:v>1.41</c:v>
                </c:pt>
                <c:pt idx="12">
                  <c:v>1.38</c:v>
                </c:pt>
                <c:pt idx="13">
                  <c:v>1.4</c:v>
                </c:pt>
                <c:pt idx="14">
                  <c:v>1.44</c:v>
                </c:pt>
                <c:pt idx="15">
                  <c:v>1.45</c:v>
                </c:pt>
                <c:pt idx="16">
                  <c:v>1.44</c:v>
                </c:pt>
                <c:pt idx="17">
                  <c:v>1.41</c:v>
                </c:pt>
                <c:pt idx="18">
                  <c:v>1.35</c:v>
                </c:pt>
                <c:pt idx="19">
                  <c:v>1.3</c:v>
                </c:pt>
                <c:pt idx="20">
                  <c:v>1.26</c:v>
                </c:pt>
                <c:pt idx="21">
                  <c:v>1.26</c:v>
                </c:pt>
                <c:pt idx="22">
                  <c:v>1.23</c:v>
                </c:pt>
                <c:pt idx="23">
                  <c:v>1.23</c:v>
                </c:pt>
                <c:pt idx="24">
                  <c:v>1.26</c:v>
                </c:pt>
                <c:pt idx="25">
                  <c:v>1.26</c:v>
                </c:pt>
                <c:pt idx="26">
                  <c:v>1.21</c:v>
                </c:pt>
                <c:pt idx="27">
                  <c:v>1.06</c:v>
                </c:pt>
                <c:pt idx="28">
                  <c:v>1.04</c:v>
                </c:pt>
                <c:pt idx="29">
                  <c:v>1.1000000000000001</c:v>
                </c:pt>
                <c:pt idx="30">
                  <c:v>1.1499999999999999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1.23</c:v>
                </c:pt>
                <c:pt idx="35">
                  <c:v>1.3</c:v>
                </c:pt>
                <c:pt idx="36">
                  <c:v>1.42</c:v>
                </c:pt>
                <c:pt idx="37">
                  <c:v>1.59</c:v>
                </c:pt>
                <c:pt idx="38">
                  <c:v>1.79</c:v>
                </c:pt>
                <c:pt idx="39">
                  <c:v>1.99</c:v>
                </c:pt>
                <c:pt idx="40">
                  <c:v>2.09</c:v>
                </c:pt>
                <c:pt idx="41">
                  <c:v>2.11</c:v>
                </c:pt>
                <c:pt idx="42">
                  <c:v>2.0499999999999998</c:v>
                </c:pt>
                <c:pt idx="43">
                  <c:v>2.04</c:v>
                </c:pt>
                <c:pt idx="44">
                  <c:v>2.0299999999999998</c:v>
                </c:pt>
                <c:pt idx="45">
                  <c:v>2.0299999999999998</c:v>
                </c:pt>
                <c:pt idx="46">
                  <c:v>2.04</c:v>
                </c:pt>
                <c:pt idx="47">
                  <c:v>2.0499999999999998</c:v>
                </c:pt>
                <c:pt idx="48">
                  <c:v>2.09</c:v>
                </c:pt>
                <c:pt idx="49">
                  <c:v>2.11</c:v>
                </c:pt>
                <c:pt idx="50">
                  <c:v>2.13</c:v>
                </c:pt>
                <c:pt idx="51">
                  <c:v>2.21</c:v>
                </c:pt>
                <c:pt idx="52">
                  <c:v>2.11</c:v>
                </c:pt>
                <c:pt idx="53">
                  <c:v>1.99</c:v>
                </c:pt>
                <c:pt idx="54">
                  <c:v>1.84</c:v>
                </c:pt>
                <c:pt idx="55">
                  <c:v>1.73</c:v>
                </c:pt>
                <c:pt idx="56">
                  <c:v>1.56</c:v>
                </c:pt>
                <c:pt idx="57">
                  <c:v>1.51</c:v>
                </c:pt>
                <c:pt idx="58">
                  <c:v>1.56</c:v>
                </c:pt>
                <c:pt idx="59">
                  <c:v>1.6</c:v>
                </c:pt>
                <c:pt idx="60">
                  <c:v>1.57</c:v>
                </c:pt>
                <c:pt idx="61">
                  <c:v>1.58</c:v>
                </c:pt>
                <c:pt idx="62">
                  <c:v>1.59</c:v>
                </c:pt>
                <c:pt idx="63">
                  <c:v>1.6</c:v>
                </c:pt>
                <c:pt idx="64">
                  <c:v>1.55</c:v>
                </c:pt>
                <c:pt idx="65">
                  <c:v>1.49</c:v>
                </c:pt>
                <c:pt idx="66">
                  <c:v>1.45</c:v>
                </c:pt>
                <c:pt idx="67">
                  <c:v>1.42</c:v>
                </c:pt>
                <c:pt idx="68">
                  <c:v>1.42</c:v>
                </c:pt>
                <c:pt idx="69">
                  <c:v>1.42</c:v>
                </c:pt>
                <c:pt idx="70">
                  <c:v>1.43</c:v>
                </c:pt>
                <c:pt idx="71">
                  <c:v>1.44</c:v>
                </c:pt>
                <c:pt idx="72">
                  <c:v>1.45</c:v>
                </c:pt>
                <c:pt idx="73">
                  <c:v>1.51</c:v>
                </c:pt>
                <c:pt idx="74">
                  <c:v>1.56</c:v>
                </c:pt>
                <c:pt idx="75">
                  <c:v>1.55</c:v>
                </c:pt>
                <c:pt idx="76">
                  <c:v>1.54</c:v>
                </c:pt>
                <c:pt idx="77">
                  <c:v>1.53</c:v>
                </c:pt>
                <c:pt idx="78">
                  <c:v>1.55</c:v>
                </c:pt>
                <c:pt idx="79">
                  <c:v>1.58</c:v>
                </c:pt>
                <c:pt idx="80">
                  <c:v>1.59</c:v>
                </c:pt>
                <c:pt idx="81">
                  <c:v>1.56</c:v>
                </c:pt>
                <c:pt idx="82">
                  <c:v>1.5</c:v>
                </c:pt>
                <c:pt idx="83">
                  <c:v>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8-43FB-9FA0-7A1C2FBDE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2999999999999998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LDPE</c:v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PE!$B$5:$B$88</c:f>
              <c:numCache>
                <c:formatCode>0.00</c:formatCode>
                <c:ptCount val="84"/>
                <c:pt idx="0">
                  <c:v>1.5</c:v>
                </c:pt>
                <c:pt idx="1">
                  <c:v>1.51</c:v>
                </c:pt>
                <c:pt idx="2">
                  <c:v>1.48</c:v>
                </c:pt>
                <c:pt idx="3">
                  <c:v>1.47</c:v>
                </c:pt>
                <c:pt idx="4">
                  <c:v>1.48</c:v>
                </c:pt>
                <c:pt idx="5">
                  <c:v>1.49</c:v>
                </c:pt>
                <c:pt idx="6">
                  <c:v>1.49</c:v>
                </c:pt>
                <c:pt idx="7">
                  <c:v>1.47</c:v>
                </c:pt>
                <c:pt idx="8">
                  <c:v>1.49</c:v>
                </c:pt>
                <c:pt idx="9">
                  <c:v>1.46</c:v>
                </c:pt>
                <c:pt idx="10">
                  <c:v>1.43</c:v>
                </c:pt>
                <c:pt idx="11">
                  <c:v>1.39</c:v>
                </c:pt>
                <c:pt idx="12">
                  <c:v>1.38</c:v>
                </c:pt>
                <c:pt idx="13">
                  <c:v>1.37</c:v>
                </c:pt>
                <c:pt idx="14">
                  <c:v>1.38</c:v>
                </c:pt>
                <c:pt idx="15">
                  <c:v>1.39</c:v>
                </c:pt>
                <c:pt idx="16">
                  <c:v>1.39</c:v>
                </c:pt>
                <c:pt idx="17">
                  <c:v>1.4</c:v>
                </c:pt>
                <c:pt idx="18">
                  <c:v>1.36</c:v>
                </c:pt>
                <c:pt idx="19">
                  <c:v>1.32</c:v>
                </c:pt>
                <c:pt idx="20">
                  <c:v>1.28</c:v>
                </c:pt>
                <c:pt idx="21">
                  <c:v>1.3</c:v>
                </c:pt>
                <c:pt idx="22">
                  <c:v>1.28</c:v>
                </c:pt>
                <c:pt idx="23">
                  <c:v>1.28</c:v>
                </c:pt>
                <c:pt idx="24">
                  <c:v>1.28</c:v>
                </c:pt>
                <c:pt idx="25">
                  <c:v>1.25</c:v>
                </c:pt>
                <c:pt idx="26">
                  <c:v>1.2</c:v>
                </c:pt>
                <c:pt idx="27">
                  <c:v>1.1200000000000001</c:v>
                </c:pt>
                <c:pt idx="28">
                  <c:v>1.0900000000000001</c:v>
                </c:pt>
                <c:pt idx="29">
                  <c:v>1.1599999999999999</c:v>
                </c:pt>
                <c:pt idx="30">
                  <c:v>1.22</c:v>
                </c:pt>
                <c:pt idx="31">
                  <c:v>1.27</c:v>
                </c:pt>
                <c:pt idx="32">
                  <c:v>1.27</c:v>
                </c:pt>
                <c:pt idx="33">
                  <c:v>1.26</c:v>
                </c:pt>
                <c:pt idx="34">
                  <c:v>1.3</c:v>
                </c:pt>
                <c:pt idx="35">
                  <c:v>1.41</c:v>
                </c:pt>
                <c:pt idx="36">
                  <c:v>1.58</c:v>
                </c:pt>
                <c:pt idx="37">
                  <c:v>1.76</c:v>
                </c:pt>
                <c:pt idx="38">
                  <c:v>2.02</c:v>
                </c:pt>
                <c:pt idx="39">
                  <c:v>2.2400000000000002</c:v>
                </c:pt>
                <c:pt idx="40">
                  <c:v>2.41</c:v>
                </c:pt>
                <c:pt idx="41">
                  <c:v>2.42</c:v>
                </c:pt>
                <c:pt idx="42">
                  <c:v>2.34</c:v>
                </c:pt>
                <c:pt idx="43">
                  <c:v>2.2799999999999998</c:v>
                </c:pt>
                <c:pt idx="44">
                  <c:v>2.25</c:v>
                </c:pt>
                <c:pt idx="45">
                  <c:v>2.25</c:v>
                </c:pt>
                <c:pt idx="46">
                  <c:v>2.25</c:v>
                </c:pt>
                <c:pt idx="47">
                  <c:v>2.25</c:v>
                </c:pt>
                <c:pt idx="48">
                  <c:v>2.29</c:v>
                </c:pt>
                <c:pt idx="49">
                  <c:v>2.29</c:v>
                </c:pt>
                <c:pt idx="50">
                  <c:v>2.2330000000000001</c:v>
                </c:pt>
                <c:pt idx="51">
                  <c:v>2.4900000000000002</c:v>
                </c:pt>
                <c:pt idx="52">
                  <c:v>2.39</c:v>
                </c:pt>
                <c:pt idx="53">
                  <c:v>2.27</c:v>
                </c:pt>
                <c:pt idx="54">
                  <c:v>2.09</c:v>
                </c:pt>
                <c:pt idx="55">
                  <c:v>1.97</c:v>
                </c:pt>
                <c:pt idx="56">
                  <c:v>1.81</c:v>
                </c:pt>
                <c:pt idx="57">
                  <c:v>1.73</c:v>
                </c:pt>
                <c:pt idx="58">
                  <c:v>1.8</c:v>
                </c:pt>
                <c:pt idx="59">
                  <c:v>1.82</c:v>
                </c:pt>
                <c:pt idx="60">
                  <c:v>1.78</c:v>
                </c:pt>
                <c:pt idx="61">
                  <c:v>1.78</c:v>
                </c:pt>
                <c:pt idx="62">
                  <c:v>1.78</c:v>
                </c:pt>
                <c:pt idx="63">
                  <c:v>1.76</c:v>
                </c:pt>
                <c:pt idx="64">
                  <c:v>1.68</c:v>
                </c:pt>
                <c:pt idx="65">
                  <c:v>1.58</c:v>
                </c:pt>
                <c:pt idx="66">
                  <c:v>1.51</c:v>
                </c:pt>
                <c:pt idx="67">
                  <c:v>1.48</c:v>
                </c:pt>
                <c:pt idx="68">
                  <c:v>1.51</c:v>
                </c:pt>
                <c:pt idx="69">
                  <c:v>1.56</c:v>
                </c:pt>
                <c:pt idx="70">
                  <c:v>1.59</c:v>
                </c:pt>
                <c:pt idx="71">
                  <c:v>1.59</c:v>
                </c:pt>
                <c:pt idx="72">
                  <c:v>1.61</c:v>
                </c:pt>
                <c:pt idx="73">
                  <c:v>1.67</c:v>
                </c:pt>
                <c:pt idx="74">
                  <c:v>1.75</c:v>
                </c:pt>
                <c:pt idx="75">
                  <c:v>1.75</c:v>
                </c:pt>
                <c:pt idx="76">
                  <c:v>1.72</c:v>
                </c:pt>
                <c:pt idx="77">
                  <c:v>1.71</c:v>
                </c:pt>
                <c:pt idx="78">
                  <c:v>1.47</c:v>
                </c:pt>
                <c:pt idx="79">
                  <c:v>1.76</c:v>
                </c:pt>
                <c:pt idx="80">
                  <c:v>1.8</c:v>
                </c:pt>
                <c:pt idx="81">
                  <c:v>1.75</c:v>
                </c:pt>
                <c:pt idx="82">
                  <c:v>1.69</c:v>
                </c:pt>
                <c:pt idx="83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38-474F-A1B2-12ED2AFA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2.6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'O2'!$A$5:$A$88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xVal>
          <c:yVal>
            <c:numRef>
              <c:f>'O2'!$B$5:$B$88</c:f>
              <c:numCache>
                <c:formatCode>0.00</c:formatCode>
                <c:ptCount val="8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0.09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0.09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0.13</c:v>
                </c:pt>
                <c:pt idx="59">
                  <c:v>0.13</c:v>
                </c:pt>
                <c:pt idx="60">
                  <c:v>0.13</c:v>
                </c:pt>
                <c:pt idx="61">
                  <c:v>0.14000000000000001</c:v>
                </c:pt>
                <c:pt idx="62">
                  <c:v>0.15</c:v>
                </c:pt>
                <c:pt idx="63">
                  <c:v>0.16</c:v>
                </c:pt>
                <c:pt idx="64">
                  <c:v>0.16</c:v>
                </c:pt>
                <c:pt idx="65">
                  <c:v>0.16</c:v>
                </c:pt>
                <c:pt idx="66">
                  <c:v>0.16</c:v>
                </c:pt>
                <c:pt idx="67">
                  <c:v>0.16</c:v>
                </c:pt>
                <c:pt idx="68">
                  <c:v>0.17</c:v>
                </c:pt>
                <c:pt idx="69">
                  <c:v>0.18</c:v>
                </c:pt>
                <c:pt idx="70">
                  <c:v>0.17</c:v>
                </c:pt>
                <c:pt idx="71">
                  <c:v>0.17</c:v>
                </c:pt>
                <c:pt idx="72">
                  <c:v>0.15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0.13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2-466C-8DE1-015337AFC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02816"/>
        <c:axId val="766996096"/>
      </c:scatterChart>
      <c:valAx>
        <c:axId val="767002816"/>
        <c:scaling>
          <c:orientation val="minMax"/>
          <c:max val="45800"/>
          <c:min val="4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6996096"/>
        <c:crosses val="autoZero"/>
        <c:crossBetween val="midCat"/>
      </c:valAx>
      <c:valAx>
        <c:axId val="766996096"/>
        <c:scaling>
          <c:orientation val="minMax"/>
          <c:max val="0.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670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100</xdr:row>
      <xdr:rowOff>0</xdr:rowOff>
    </xdr:from>
    <xdr:to>
      <xdr:col>7</xdr:col>
      <xdr:colOff>923925</xdr:colOff>
      <xdr:row>115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14BCE-C51F-4F9F-835B-13DD98C48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13</xdr:row>
      <xdr:rowOff>139700</xdr:rowOff>
    </xdr:from>
    <xdr:to>
      <xdr:col>14</xdr:col>
      <xdr:colOff>15875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94BF8-CA76-4A78-A3DC-2279877E6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112</xdr:row>
      <xdr:rowOff>0</xdr:rowOff>
    </xdr:from>
    <xdr:to>
      <xdr:col>4</xdr:col>
      <xdr:colOff>400050</xdr:colOff>
      <xdr:row>127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6BF0BD-F482-41BD-9B64-4A6C6DA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422272</xdr:colOff>
      <xdr:row>6</xdr:row>
      <xdr:rowOff>153987</xdr:rowOff>
    </xdr:from>
    <xdr:to>
      <xdr:col>20</xdr:col>
      <xdr:colOff>260349</xdr:colOff>
      <xdr:row>22</xdr:row>
      <xdr:rowOff>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08981-3BEC-7F90-8297-E2D0E1815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4</xdr:row>
      <xdr:rowOff>114300</xdr:rowOff>
    </xdr:from>
    <xdr:to>
      <xdr:col>14</xdr:col>
      <xdr:colOff>282575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482C9-2087-415E-9EFE-F32BB50E5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13</xdr:row>
      <xdr:rowOff>9525</xdr:rowOff>
    </xdr:from>
    <xdr:to>
      <xdr:col>18</xdr:col>
      <xdr:colOff>225427</xdr:colOff>
      <xdr:row>28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4729F-6FDA-4FBC-852B-8CDAE1658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5</xdr:row>
      <xdr:rowOff>63500</xdr:rowOff>
    </xdr:from>
    <xdr:to>
      <xdr:col>17</xdr:col>
      <xdr:colOff>352427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129C6-7730-41D6-9F0A-01F3A0E3C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6</xdr:row>
      <xdr:rowOff>139700</xdr:rowOff>
    </xdr:from>
    <xdr:to>
      <xdr:col>16</xdr:col>
      <xdr:colOff>358777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32BD3-DDD8-425D-91D5-84C9167DC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13</xdr:row>
      <xdr:rowOff>114300</xdr:rowOff>
    </xdr:from>
    <xdr:to>
      <xdr:col>15</xdr:col>
      <xdr:colOff>19050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399C8-C41D-4825-9EEA-D9625058D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8</xdr:row>
      <xdr:rowOff>66675</xdr:rowOff>
    </xdr:from>
    <xdr:to>
      <xdr:col>13</xdr:col>
      <xdr:colOff>523875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C7FC9-75E3-4E34-B4D0-2EC5EFDCF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8</xdr:row>
      <xdr:rowOff>34925</xdr:rowOff>
    </xdr:from>
    <xdr:to>
      <xdr:col>13</xdr:col>
      <xdr:colOff>19050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AC7AC-A62A-4D97-80F1-4B814869F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8</xdr:row>
      <xdr:rowOff>53975</xdr:rowOff>
    </xdr:from>
    <xdr:to>
      <xdr:col>14</xdr:col>
      <xdr:colOff>561975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74D0E-1326-4EDD-BDFE-D21480AF9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7</xdr:row>
      <xdr:rowOff>104775</xdr:rowOff>
    </xdr:from>
    <xdr:to>
      <xdr:col>13</xdr:col>
      <xdr:colOff>9524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1D080-DE7C-4857-8F42-F9425A5A9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6349</xdr:colOff>
      <xdr:row>8</xdr:row>
      <xdr:rowOff>9525</xdr:rowOff>
    </xdr:from>
    <xdr:to>
      <xdr:col>14</xdr:col>
      <xdr:colOff>142874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D2F1F-2E05-4185-8C5F-E8E223B9C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7</xdr:row>
      <xdr:rowOff>82550</xdr:rowOff>
    </xdr:from>
    <xdr:to>
      <xdr:col>16</xdr:col>
      <xdr:colOff>311152</xdr:colOff>
      <xdr:row>22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F4559-B547-4B9D-B024-AA4506D34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10</xdr:row>
      <xdr:rowOff>0</xdr:rowOff>
    </xdr:from>
    <xdr:to>
      <xdr:col>14</xdr:col>
      <xdr:colOff>19050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843B6-CB7C-45D8-A383-253AF48CC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571497</xdr:colOff>
      <xdr:row>5</xdr:row>
      <xdr:rowOff>152400</xdr:rowOff>
    </xdr:from>
    <xdr:to>
      <xdr:col>14</xdr:col>
      <xdr:colOff>69849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DA3DE-E0CF-4D71-8731-7F7E3D1C3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4</xdr:row>
      <xdr:rowOff>171450</xdr:rowOff>
    </xdr:from>
    <xdr:to>
      <xdr:col>13</xdr:col>
      <xdr:colOff>590550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D25B4-8B2F-4EDA-8E35-8F65ABBF6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152400</xdr:rowOff>
    </xdr:from>
    <xdr:to>
      <xdr:col>14</xdr:col>
      <xdr:colOff>571500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8523A-A2A4-4062-AB34-B4A6AEBE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5</xdr:row>
      <xdr:rowOff>149225</xdr:rowOff>
    </xdr:from>
    <xdr:to>
      <xdr:col>13</xdr:col>
      <xdr:colOff>485774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8BFE9-A402-4282-8B9D-5F57D3EB1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6</xdr:row>
      <xdr:rowOff>161925</xdr:rowOff>
    </xdr:from>
    <xdr:to>
      <xdr:col>13</xdr:col>
      <xdr:colOff>180975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F2617-4309-452D-B4A7-251A10228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15874</xdr:colOff>
      <xdr:row>5</xdr:row>
      <xdr:rowOff>130175</xdr:rowOff>
    </xdr:from>
    <xdr:to>
      <xdr:col>13</xdr:col>
      <xdr:colOff>133349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9C462-E4B0-4A11-997F-3836B6D45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21</xdr:row>
      <xdr:rowOff>57150</xdr:rowOff>
    </xdr:from>
    <xdr:to>
      <xdr:col>14</xdr:col>
      <xdr:colOff>200025</xdr:colOff>
      <xdr:row>36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D2B9C-D671-4DA7-AB74-0B97C88FD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581026</xdr:colOff>
      <xdr:row>4</xdr:row>
      <xdr:rowOff>133350</xdr:rowOff>
    </xdr:from>
    <xdr:to>
      <xdr:col>14</xdr:col>
      <xdr:colOff>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8BD55-DA5F-442A-A0B1-32610B9D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4</xdr:row>
      <xdr:rowOff>123825</xdr:rowOff>
    </xdr:from>
    <xdr:to>
      <xdr:col>12</xdr:col>
      <xdr:colOff>406402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509D2-6238-46CB-8FD5-8659DC9F5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158750</xdr:rowOff>
    </xdr:from>
    <xdr:to>
      <xdr:col>14</xdr:col>
      <xdr:colOff>38100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E599C-19BC-425F-8231-9D6DF8298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6</xdr:row>
      <xdr:rowOff>0</xdr:rowOff>
    </xdr:from>
    <xdr:to>
      <xdr:col>14</xdr:col>
      <xdr:colOff>28575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DD01C-2061-4AC4-A390-F56355AA4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usinessanalytiq.com/procurementanalytics/index/isobutanol-price-index/" TargetMode="External"/><Relationship Id="rId13" Type="http://schemas.openxmlformats.org/officeDocument/2006/relationships/hyperlink" Target="https://businessanalytiq.com/procurementanalytics/index/styrene-price-index/" TargetMode="External"/><Relationship Id="rId18" Type="http://schemas.openxmlformats.org/officeDocument/2006/relationships/hyperlink" Target="https://businessanalytiq.com/procurementanalytics/index/para-xylene-price-index/" TargetMode="External"/><Relationship Id="rId26" Type="http://schemas.openxmlformats.org/officeDocument/2006/relationships/hyperlink" Target="https://businessanalytiq.com/procurementanalytics/index/grey-hydrogen-price-index/" TargetMode="External"/><Relationship Id="rId3" Type="http://schemas.openxmlformats.org/officeDocument/2006/relationships/hyperlink" Target="https://businessanalytiq.com/procurementanalytics/index/acetylene-prices/" TargetMode="External"/><Relationship Id="rId21" Type="http://schemas.openxmlformats.org/officeDocument/2006/relationships/hyperlink" Target="https://businessanalytiq.com/procurementanalytics/index/cumene-price-index/" TargetMode="External"/><Relationship Id="rId7" Type="http://schemas.openxmlformats.org/officeDocument/2006/relationships/hyperlink" Target="https://businessanalytiq.com/procurementanalytics/index/butanol-price-index/" TargetMode="External"/><Relationship Id="rId12" Type="http://schemas.openxmlformats.org/officeDocument/2006/relationships/hyperlink" Target="https://businessanalytiq.com/procurementanalytics/index/propylene-glycol-price-index/" TargetMode="External"/><Relationship Id="rId17" Type="http://schemas.openxmlformats.org/officeDocument/2006/relationships/hyperlink" Target="https://businessanalytiq.com/procurementanalytics/index/iir-price-index/" TargetMode="External"/><Relationship Id="rId25" Type="http://schemas.openxmlformats.org/officeDocument/2006/relationships/hyperlink" Target="https://businessanalytiq.com/procurementanalytics/index/oxygen-price-index/" TargetMode="External"/><Relationship Id="rId2" Type="http://schemas.openxmlformats.org/officeDocument/2006/relationships/hyperlink" Target="https://businessanalytiq.com/procurementanalytics/index/ethylene-oxide-price-index/" TargetMode="External"/><Relationship Id="rId16" Type="http://schemas.openxmlformats.org/officeDocument/2006/relationships/hyperlink" Target="https://businessanalytiq.com/procurementanalytics/index/fuel-oil-price-index/" TargetMode="External"/><Relationship Id="rId20" Type="http://schemas.openxmlformats.org/officeDocument/2006/relationships/hyperlink" Target="https://businessanalytiq.com/procurementanalytics/index/polypropylene-price-index/" TargetMode="External"/><Relationship Id="rId1" Type="http://schemas.openxmlformats.org/officeDocument/2006/relationships/hyperlink" Target="https://businessanalytiq.com/procurementanalytics/index/mtbe-price-index/" TargetMode="External"/><Relationship Id="rId6" Type="http://schemas.openxmlformats.org/officeDocument/2006/relationships/hyperlink" Target="https://businessanalytiq.com/procurementanalytics/index/methanol-price-index/" TargetMode="External"/><Relationship Id="rId11" Type="http://schemas.openxmlformats.org/officeDocument/2006/relationships/hyperlink" Target="https://businessanalytiq.com/procurementanalytics/index/propylene-oxide-price-index/" TargetMode="External"/><Relationship Id="rId24" Type="http://schemas.openxmlformats.org/officeDocument/2006/relationships/hyperlink" Target="https://businessanalytiq.com/procurementanalytics/index/propylene-price-index/" TargetMode="External"/><Relationship Id="rId5" Type="http://schemas.openxmlformats.org/officeDocument/2006/relationships/hyperlink" Target="https://businessanalytiq.com/procurementanalytics/index/ethylene-glycol-price-index/" TargetMode="External"/><Relationship Id="rId15" Type="http://schemas.openxmlformats.org/officeDocument/2006/relationships/hyperlink" Target="https://businessanalytiq.com/procurementanalytics/index/diesel-price-index/" TargetMode="External"/><Relationship Id="rId23" Type="http://schemas.openxmlformats.org/officeDocument/2006/relationships/hyperlink" Target="https://businessanalytiq.com/procurementanalytics/index/naphtha-price-index/" TargetMode="External"/><Relationship Id="rId28" Type="http://schemas.openxmlformats.org/officeDocument/2006/relationships/hyperlink" Target="https://ec.europa.eu/eurostat/statistics-explained/index.php?title=Recycling_%E2%80%93_secondary_material_price_indicator" TargetMode="External"/><Relationship Id="rId10" Type="http://schemas.openxmlformats.org/officeDocument/2006/relationships/hyperlink" Target="https://businessanalytiq.com/procurementanalytics/index/lpg-price-index/" TargetMode="External"/><Relationship Id="rId19" Type="http://schemas.openxmlformats.org/officeDocument/2006/relationships/hyperlink" Target="https://businessanalytiq.com/procurementanalytics/index/electricity-price-index-europe/" TargetMode="External"/><Relationship Id="rId4" Type="http://schemas.openxmlformats.org/officeDocument/2006/relationships/hyperlink" Target="https://businessanalytiq.com/procurementanalytics/index/ethylene-price-index/" TargetMode="External"/><Relationship Id="rId9" Type="http://schemas.openxmlformats.org/officeDocument/2006/relationships/hyperlink" Target="https://businessanalytiq.com/procurementanalytics/index/butadiene-price-index/" TargetMode="External"/><Relationship Id="rId14" Type="http://schemas.openxmlformats.org/officeDocument/2006/relationships/hyperlink" Target="https://businessanalytiq.com/procurementanalytics/index/ortho-xylene-price-index/" TargetMode="External"/><Relationship Id="rId22" Type="http://schemas.openxmlformats.org/officeDocument/2006/relationships/hyperlink" Target="https://businessanalytiq.com/procurementanalytics/index/benzene-price-index/" TargetMode="External"/><Relationship Id="rId27" Type="http://schemas.openxmlformats.org/officeDocument/2006/relationships/hyperlink" Target="https://businessanalytiq.com/procurementanalytics/index/hdpe-price-index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36EA-F6D3-4ABE-999C-5D11E6A1F5D0}">
  <dimension ref="A1:AG311"/>
  <sheetViews>
    <sheetView tabSelected="1" zoomScaleNormal="100" workbookViewId="0">
      <pane xSplit="1" topLeftCell="B1" activePane="topRight" state="frozen"/>
      <selection activeCell="A12" sqref="A12"/>
      <selection pane="topRight" activeCell="C1" sqref="C1"/>
    </sheetView>
  </sheetViews>
  <sheetFormatPr defaultRowHeight="14" x14ac:dyDescent="0.3"/>
  <cols>
    <col min="1" max="1" width="63.26953125" style="7" customWidth="1"/>
    <col min="2" max="2" width="24" style="7" customWidth="1"/>
    <col min="3" max="3" width="35.26953125" style="7" bestFit="1" customWidth="1"/>
    <col min="4" max="4" width="18.81640625" style="7" bestFit="1" customWidth="1"/>
    <col min="5" max="5" width="33.81640625" style="7" customWidth="1"/>
    <col min="6" max="6" width="33.81640625" style="7" bestFit="1" customWidth="1"/>
    <col min="7" max="7" width="36.36328125" style="7" bestFit="1" customWidth="1"/>
    <col min="8" max="8" width="36" style="7" bestFit="1" customWidth="1"/>
    <col min="9" max="9" width="26.7265625" style="7" bestFit="1" customWidth="1"/>
    <col min="10" max="10" width="21.08984375" style="7" bestFit="1" customWidth="1"/>
    <col min="11" max="11" width="41.7265625" style="7" bestFit="1" customWidth="1"/>
    <col min="12" max="12" width="25.6328125" style="7" bestFit="1" customWidth="1"/>
    <col min="13" max="13" width="46.453125" style="7" bestFit="1" customWidth="1"/>
    <col min="14" max="14" width="21.08984375" style="7" bestFit="1" customWidth="1"/>
    <col min="15" max="15" width="41.7265625" style="7" bestFit="1" customWidth="1"/>
    <col min="16" max="16" width="25.6328125" style="7" bestFit="1" customWidth="1"/>
    <col min="17" max="17" width="46.453125" style="7" bestFit="1" customWidth="1"/>
    <col min="18" max="18" width="15" style="7" customWidth="1"/>
    <col min="19" max="19" width="24.08984375" style="7" customWidth="1"/>
    <col min="20" max="20" width="15.453125" style="7" customWidth="1"/>
    <col min="21" max="21" width="18.1796875" style="7" customWidth="1"/>
    <col min="22" max="22" width="15.26953125" style="7" customWidth="1"/>
    <col min="23" max="23" width="19.6328125" style="7" bestFit="1" customWidth="1"/>
    <col min="24" max="24" width="27.08984375" style="7" bestFit="1" customWidth="1"/>
    <col min="25" max="25" width="25.08984375" style="7" bestFit="1" customWidth="1"/>
    <col min="26" max="26" width="45.81640625" style="7" bestFit="1" customWidth="1"/>
    <col min="27" max="27" width="46.1796875" style="7" bestFit="1" customWidth="1"/>
    <col min="28" max="28" width="27.6328125" style="7" bestFit="1" customWidth="1"/>
    <col min="29" max="29" width="35.54296875" style="7" bestFit="1" customWidth="1"/>
    <col min="30" max="16384" width="8.7265625" style="7"/>
  </cols>
  <sheetData>
    <row r="1" spans="1:33" x14ac:dyDescent="0.3">
      <c r="A1" s="6" t="s">
        <v>0</v>
      </c>
      <c r="E1" s="6" t="s">
        <v>111</v>
      </c>
      <c r="H1" s="6" t="s">
        <v>107</v>
      </c>
    </row>
    <row r="2" spans="1:33" ht="14.5" thickBot="1" x14ac:dyDescent="0.35"/>
    <row r="3" spans="1:33" ht="16.5" customHeight="1" thickTop="1" x14ac:dyDescent="0.3">
      <c r="A3" s="72" t="s">
        <v>1</v>
      </c>
      <c r="B3" s="3" t="s">
        <v>2</v>
      </c>
      <c r="C3" s="4"/>
      <c r="E3" s="40" t="s">
        <v>97</v>
      </c>
      <c r="F3" s="42">
        <v>3.3</v>
      </c>
      <c r="H3" s="34" t="s">
        <v>98</v>
      </c>
      <c r="I3" s="34" t="s">
        <v>99</v>
      </c>
    </row>
    <row r="4" spans="1:33" ht="17.5" customHeight="1" x14ac:dyDescent="0.3">
      <c r="A4" s="73"/>
      <c r="B4" s="1" t="s">
        <v>3</v>
      </c>
      <c r="C4" s="1" t="s">
        <v>5</v>
      </c>
      <c r="E4" s="1" t="s">
        <v>108</v>
      </c>
      <c r="F4" s="43">
        <v>20</v>
      </c>
      <c r="H4" s="1" t="s">
        <v>100</v>
      </c>
      <c r="I4" s="1" t="s">
        <v>101</v>
      </c>
    </row>
    <row r="5" spans="1:33" ht="28" customHeight="1" x14ac:dyDescent="0.3">
      <c r="A5" s="73"/>
      <c r="B5" s="1" t="s">
        <v>4</v>
      </c>
      <c r="C5" s="1" t="s">
        <v>6</v>
      </c>
      <c r="E5" s="1" t="s">
        <v>109</v>
      </c>
      <c r="F5" s="43">
        <v>15</v>
      </c>
      <c r="H5" s="1" t="s">
        <v>102</v>
      </c>
      <c r="I5" s="1" t="s">
        <v>103</v>
      </c>
    </row>
    <row r="6" spans="1:33" ht="18" customHeight="1" x14ac:dyDescent="0.3">
      <c r="A6" s="1" t="s">
        <v>7</v>
      </c>
      <c r="B6" s="2"/>
      <c r="C6" s="1" t="s">
        <v>8</v>
      </c>
      <c r="E6" s="1" t="s">
        <v>110</v>
      </c>
      <c r="F6" s="43">
        <f>F5/100*(1+F5/100)^F4/((1+F5/100)^F4-1)</f>
        <v>0.1597614704057439</v>
      </c>
      <c r="H6" s="1" t="s">
        <v>104</v>
      </c>
      <c r="I6" s="1" t="s">
        <v>103</v>
      </c>
    </row>
    <row r="7" spans="1:33" ht="17.5" customHeight="1" thickBot="1" x14ac:dyDescent="0.35">
      <c r="A7" s="73" t="s">
        <v>9</v>
      </c>
      <c r="B7" s="1" t="s">
        <v>10</v>
      </c>
      <c r="C7" s="1" t="s">
        <v>12</v>
      </c>
      <c r="E7" s="1" t="s">
        <v>112</v>
      </c>
      <c r="F7" s="43">
        <v>4.8</v>
      </c>
      <c r="H7" s="1" t="s">
        <v>105</v>
      </c>
      <c r="I7" s="1" t="s">
        <v>106</v>
      </c>
    </row>
    <row r="8" spans="1:33" ht="17.5" customHeight="1" thickBot="1" x14ac:dyDescent="0.35">
      <c r="A8" s="74"/>
      <c r="B8" s="5" t="s">
        <v>11</v>
      </c>
      <c r="C8" s="5" t="s">
        <v>13</v>
      </c>
      <c r="E8" s="1" t="s">
        <v>113</v>
      </c>
      <c r="F8" s="43">
        <v>10</v>
      </c>
      <c r="H8" s="33"/>
      <c r="I8" s="33"/>
    </row>
    <row r="9" spans="1:33" ht="14.5" thickBot="1" x14ac:dyDescent="0.35">
      <c r="E9" s="39" t="s">
        <v>115</v>
      </c>
      <c r="F9" s="44">
        <v>63037</v>
      </c>
    </row>
    <row r="10" spans="1:33" ht="14.5" thickTop="1" x14ac:dyDescent="0.3">
      <c r="A10" s="7" t="s">
        <v>144</v>
      </c>
      <c r="E10" s="41"/>
      <c r="F10" s="41" t="s">
        <v>116</v>
      </c>
    </row>
    <row r="11" spans="1:33" x14ac:dyDescent="0.3">
      <c r="A11" s="7" t="s">
        <v>143</v>
      </c>
    </row>
    <row r="14" spans="1:33" s="28" customFormat="1" x14ac:dyDescent="0.3">
      <c r="A14" s="28" t="s">
        <v>78</v>
      </c>
      <c r="B14" s="29" t="s">
        <v>81</v>
      </c>
      <c r="C14" s="29" t="s">
        <v>86</v>
      </c>
      <c r="D14" s="29" t="s">
        <v>75</v>
      </c>
      <c r="E14" s="29" t="s">
        <v>80</v>
      </c>
      <c r="F14" s="29" t="s">
        <v>89</v>
      </c>
      <c r="G14" s="29" t="s">
        <v>80</v>
      </c>
      <c r="H14" s="29" t="s">
        <v>75</v>
      </c>
      <c r="I14" s="29" t="s">
        <v>90</v>
      </c>
      <c r="J14" s="29" t="s">
        <v>76</v>
      </c>
      <c r="K14" s="29" t="s">
        <v>88</v>
      </c>
      <c r="L14" s="29" t="s">
        <v>91</v>
      </c>
      <c r="M14" s="29" t="s">
        <v>75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3" s="26" customFormat="1" x14ac:dyDescent="0.3">
      <c r="A15" s="28" t="s">
        <v>14</v>
      </c>
      <c r="B15" s="27" t="s">
        <v>154</v>
      </c>
      <c r="C15" s="27" t="s">
        <v>155</v>
      </c>
      <c r="D15" s="27" t="s">
        <v>156</v>
      </c>
      <c r="E15" s="27" t="s">
        <v>157</v>
      </c>
      <c r="F15" s="27" t="s">
        <v>158</v>
      </c>
      <c r="G15" s="27" t="s">
        <v>159</v>
      </c>
      <c r="H15" s="27" t="s">
        <v>160</v>
      </c>
      <c r="I15" s="27" t="s">
        <v>161</v>
      </c>
      <c r="J15" s="27" t="s">
        <v>181</v>
      </c>
      <c r="K15" s="27" t="s">
        <v>162</v>
      </c>
      <c r="L15" s="27" t="s">
        <v>163</v>
      </c>
      <c r="M15" s="27" t="s">
        <v>164</v>
      </c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</row>
    <row r="16" spans="1:33" s="19" customFormat="1" x14ac:dyDescent="0.35">
      <c r="A16" s="30" t="s">
        <v>87</v>
      </c>
      <c r="B16" s="19">
        <v>783.9</v>
      </c>
      <c r="C16" s="19">
        <v>400</v>
      </c>
      <c r="D16" s="19">
        <v>878.2</v>
      </c>
      <c r="E16" s="19">
        <v>253.6</v>
      </c>
      <c r="F16" s="19">
        <v>89.6</v>
      </c>
      <c r="G16" s="19">
        <v>295.60000000000002</v>
      </c>
      <c r="H16" s="19">
        <v>314.39999999999998</v>
      </c>
      <c r="I16" s="19">
        <v>532.29999999999995</v>
      </c>
      <c r="J16" s="19">
        <v>1050</v>
      </c>
      <c r="K16" s="19">
        <v>358.4</v>
      </c>
      <c r="L16" s="19">
        <v>403.3</v>
      </c>
      <c r="M16" s="19">
        <v>328.2</v>
      </c>
    </row>
    <row r="17" spans="1:30" s="16" customFormat="1" x14ac:dyDescent="0.35">
      <c r="A17" s="31" t="s">
        <v>182</v>
      </c>
      <c r="B17" s="16">
        <v>5646080</v>
      </c>
      <c r="C17" s="16">
        <f>3214700+5279380</f>
        <v>8494080</v>
      </c>
      <c r="D17" s="16">
        <v>177271120</v>
      </c>
      <c r="E17" s="16">
        <v>33156880</v>
      </c>
      <c r="F17" s="16">
        <v>3455810</v>
      </c>
      <c r="G17" s="16">
        <v>48799760</v>
      </c>
      <c r="H17" s="16">
        <v>55321100</v>
      </c>
      <c r="I17" s="16">
        <v>480367100</v>
      </c>
      <c r="J17" s="16">
        <v>135395500</v>
      </c>
      <c r="K17" s="16">
        <v>314379508</v>
      </c>
      <c r="L17" s="16">
        <v>74116400</v>
      </c>
      <c r="M17" s="16">
        <v>111131800</v>
      </c>
    </row>
    <row r="18" spans="1:30" s="16" customFormat="1" x14ac:dyDescent="0.35">
      <c r="A18" s="31"/>
    </row>
    <row r="19" spans="1:30" s="16" customFormat="1" x14ac:dyDescent="0.35">
      <c r="A19" s="35" t="s">
        <v>142</v>
      </c>
    </row>
    <row r="20" spans="1:30" s="16" customFormat="1" x14ac:dyDescent="0.35">
      <c r="A20" s="54" t="s">
        <v>92</v>
      </c>
      <c r="B20" s="16">
        <f>$F$3*B17/10^6</f>
        <v>18.632064</v>
      </c>
      <c r="C20" s="16">
        <f t="shared" ref="C20" si="0">$F$3*C17/10^6</f>
        <v>28.030463999999998</v>
      </c>
      <c r="D20" s="16">
        <f>$F$3*D17/10^6</f>
        <v>584.99469599999998</v>
      </c>
      <c r="E20" s="16">
        <v>109.417704</v>
      </c>
      <c r="F20" s="16">
        <f t="shared" ref="F20:M20" si="1">$F$3*F17/10^6</f>
        <v>11.404173</v>
      </c>
      <c r="G20" s="16">
        <f t="shared" si="1"/>
        <v>161.039208</v>
      </c>
      <c r="H20" s="16">
        <f t="shared" si="1"/>
        <v>182.55963</v>
      </c>
      <c r="I20" s="16">
        <f t="shared" si="1"/>
        <v>1585.2114300000001</v>
      </c>
      <c r="J20" s="16">
        <f t="shared" si="1"/>
        <v>446.80515000000003</v>
      </c>
      <c r="K20" s="16">
        <f t="shared" si="1"/>
        <v>1037.4523764</v>
      </c>
      <c r="L20" s="16">
        <f t="shared" si="1"/>
        <v>244.58412000000001</v>
      </c>
      <c r="M20" s="16">
        <f t="shared" si="1"/>
        <v>366.73493999999999</v>
      </c>
    </row>
    <row r="21" spans="1:30" s="16" customFormat="1" x14ac:dyDescent="0.35">
      <c r="A21" s="54" t="s">
        <v>94</v>
      </c>
      <c r="B21" s="16">
        <f>0.4*B20</f>
        <v>7.4528256000000006</v>
      </c>
      <c r="C21" s="16">
        <f t="shared" ref="C21" si="2">0.4*C20</f>
        <v>11.2121856</v>
      </c>
      <c r="D21" s="16">
        <f>0.4*D20</f>
        <v>233.99787839999999</v>
      </c>
      <c r="E21" s="16">
        <v>43.767081600000004</v>
      </c>
      <c r="F21" s="16">
        <f t="shared" ref="F21:M21" si="3">0.4*F20</f>
        <v>4.5616691999999999</v>
      </c>
      <c r="G21" s="16">
        <f t="shared" si="3"/>
        <v>64.415683200000004</v>
      </c>
      <c r="H21" s="16">
        <f t="shared" si="3"/>
        <v>73.023852000000005</v>
      </c>
      <c r="I21" s="16">
        <f t="shared" si="3"/>
        <v>634.08457200000009</v>
      </c>
      <c r="J21" s="16">
        <f t="shared" si="3"/>
        <v>178.72206000000003</v>
      </c>
      <c r="K21" s="16">
        <f t="shared" si="3"/>
        <v>414.98095056000005</v>
      </c>
      <c r="L21" s="16">
        <f t="shared" si="3"/>
        <v>97.833648000000011</v>
      </c>
      <c r="M21" s="16">
        <f t="shared" si="3"/>
        <v>146.69397599999999</v>
      </c>
    </row>
    <row r="22" spans="1:30" s="16" customFormat="1" x14ac:dyDescent="0.35">
      <c r="A22" s="54" t="s">
        <v>93</v>
      </c>
      <c r="B22" s="16">
        <f>0.1*(B20+B21)</f>
        <v>2.6084889600000003</v>
      </c>
      <c r="C22" s="16">
        <f t="shared" ref="C22" si="4">0.1*(C20+C21)</f>
        <v>3.9242649600000004</v>
      </c>
      <c r="D22" s="16">
        <f>0.1*(D20+D21)</f>
        <v>81.89925744</v>
      </c>
      <c r="E22" s="16">
        <v>15.318478560000001</v>
      </c>
      <c r="F22" s="16">
        <f t="shared" ref="F22:M22" si="5">0.1*(F20+F21)</f>
        <v>1.5965842200000002</v>
      </c>
      <c r="G22" s="16">
        <f t="shared" si="5"/>
        <v>22.545489120000003</v>
      </c>
      <c r="H22" s="16">
        <f t="shared" si="5"/>
        <v>25.558348200000001</v>
      </c>
      <c r="I22" s="16">
        <f t="shared" si="5"/>
        <v>221.92960020000001</v>
      </c>
      <c r="J22" s="16">
        <f t="shared" si="5"/>
        <v>62.552721000000012</v>
      </c>
      <c r="K22" s="16">
        <f t="shared" si="5"/>
        <v>145.24333269600001</v>
      </c>
      <c r="L22" s="16">
        <f t="shared" si="5"/>
        <v>34.241776800000004</v>
      </c>
      <c r="M22" s="16">
        <f t="shared" si="5"/>
        <v>51.342891600000002</v>
      </c>
    </row>
    <row r="23" spans="1:30" s="16" customFormat="1" x14ac:dyDescent="0.35">
      <c r="A23" s="54" t="s">
        <v>95</v>
      </c>
      <c r="B23" s="16">
        <f>0.1*(B20+B21)</f>
        <v>2.6084889600000003</v>
      </c>
      <c r="C23" s="16">
        <f t="shared" ref="C23" si="6">0.1*(C20+C21)</f>
        <v>3.9242649600000004</v>
      </c>
      <c r="D23" s="16">
        <f>0.1*(D20+D21)</f>
        <v>81.89925744</v>
      </c>
      <c r="E23" s="16">
        <v>15.318478560000001</v>
      </c>
      <c r="F23" s="16">
        <f t="shared" ref="F23:M23" si="7">0.1*(F20+F21)</f>
        <v>1.5965842200000002</v>
      </c>
      <c r="G23" s="16">
        <f t="shared" si="7"/>
        <v>22.545489120000003</v>
      </c>
      <c r="H23" s="16">
        <f t="shared" si="7"/>
        <v>25.558348200000001</v>
      </c>
      <c r="I23" s="16">
        <f t="shared" si="7"/>
        <v>221.92960020000001</v>
      </c>
      <c r="J23" s="16">
        <f t="shared" si="7"/>
        <v>62.552721000000012</v>
      </c>
      <c r="K23" s="16">
        <f t="shared" si="7"/>
        <v>145.24333269600001</v>
      </c>
      <c r="L23" s="16">
        <f t="shared" si="7"/>
        <v>34.241776800000004</v>
      </c>
      <c r="M23" s="16">
        <f t="shared" si="7"/>
        <v>51.342891600000002</v>
      </c>
    </row>
    <row r="24" spans="1:30" s="20" customFormat="1" x14ac:dyDescent="0.3">
      <c r="A24" s="20" t="s">
        <v>96</v>
      </c>
      <c r="B24" s="16">
        <f>0.05*(B20+B21+B22+B23)</f>
        <v>1.5650933760000001</v>
      </c>
      <c r="C24" s="16">
        <f t="shared" ref="C24" si="8">0.05*(C20+C21+C22+C23)</f>
        <v>2.3545589760000003</v>
      </c>
      <c r="D24" s="16">
        <f>0.05*(D20+D21+D22+D23)</f>
        <v>49.139554464000007</v>
      </c>
      <c r="E24" s="16">
        <v>9.1910871359999984</v>
      </c>
      <c r="F24" s="16">
        <f t="shared" ref="F24:M24" si="9">0.05*(F20+F21+F22+F23)</f>
        <v>0.95795053200000013</v>
      </c>
      <c r="G24" s="16">
        <f t="shared" si="9"/>
        <v>13.527293472000004</v>
      </c>
      <c r="H24" s="16">
        <f t="shared" si="9"/>
        <v>15.335008920000002</v>
      </c>
      <c r="I24" s="16">
        <f t="shared" si="9"/>
        <v>133.15776012000001</v>
      </c>
      <c r="J24" s="16">
        <f t="shared" si="9"/>
        <v>37.531632600000009</v>
      </c>
      <c r="K24" s="16">
        <f t="shared" si="9"/>
        <v>87.145999617600012</v>
      </c>
      <c r="L24" s="16">
        <f t="shared" si="9"/>
        <v>20.545066080000005</v>
      </c>
      <c r="M24" s="16">
        <f t="shared" si="9"/>
        <v>30.805734960000002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s="20" customFormat="1" x14ac:dyDescent="0.3">
      <c r="A25" s="32" t="s">
        <v>183</v>
      </c>
      <c r="B25" s="16">
        <f>(B20+B21+B22+B23+B24)</f>
        <v>32.866960895999995</v>
      </c>
      <c r="C25" s="16">
        <f>(C20+C21+C22+C23+C24)</f>
        <v>49.445738496000004</v>
      </c>
      <c r="D25" s="16">
        <f>(D20+D21+D22+D23+D24)</f>
        <v>1031.930643744</v>
      </c>
      <c r="E25" s="16">
        <v>193.01282985599997</v>
      </c>
      <c r="F25" s="16">
        <f>(F20+F21+F22+F23+F24)</f>
        <v>20.116961172000003</v>
      </c>
      <c r="G25" s="16">
        <f>(G20+G21+G22+G23+G24)</f>
        <v>284.07316291200004</v>
      </c>
      <c r="H25" s="16">
        <f>(H20+H21+H22+H23+H24)</f>
        <v>322.03518732000003</v>
      </c>
      <c r="I25" s="16">
        <f>(I20+I21+I22+I23+I24)</f>
        <v>2796.3129625200004</v>
      </c>
      <c r="J25" s="16">
        <f>(J20+J21+J22+J23+J24)</f>
        <v>788.16428460000009</v>
      </c>
      <c r="K25" s="16">
        <v>2004</v>
      </c>
      <c r="L25" s="16">
        <f>(L20+L21+L22+L23+L24)</f>
        <v>431.4463876800001</v>
      </c>
      <c r="M25" s="16">
        <f>(M20+M21+M22+M23+M24)</f>
        <v>646.92043416000001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s="20" customFormat="1" x14ac:dyDescent="0.3">
      <c r="A26" s="20" t="s">
        <v>190</v>
      </c>
      <c r="B26" s="16">
        <f>B25/$F$4</f>
        <v>1.6433480447999997</v>
      </c>
      <c r="C26" s="16">
        <f>C25/$F$4</f>
        <v>2.4722869248000001</v>
      </c>
      <c r="D26" s="16">
        <f>D25/$F$4</f>
        <v>51.596532187199998</v>
      </c>
      <c r="E26" s="16">
        <v>9.6506414927999984</v>
      </c>
      <c r="F26" s="16">
        <f t="shared" ref="F26:M26" si="10">F25/$F$4</f>
        <v>1.0058480586000003</v>
      </c>
      <c r="G26" s="16">
        <f t="shared" si="10"/>
        <v>14.203658145600002</v>
      </c>
      <c r="H26" s="16">
        <f t="shared" si="10"/>
        <v>16.101759366000003</v>
      </c>
      <c r="I26" s="16">
        <f t="shared" si="10"/>
        <v>139.81564812600001</v>
      </c>
      <c r="J26" s="16">
        <f t="shared" si="10"/>
        <v>39.408214230000006</v>
      </c>
      <c r="K26" s="16">
        <f t="shared" si="10"/>
        <v>100.2</v>
      </c>
      <c r="L26" s="16">
        <f t="shared" si="10"/>
        <v>21.572319384000004</v>
      </c>
      <c r="M26" s="16">
        <f t="shared" si="10"/>
        <v>32.346021708000002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s="20" customFormat="1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s="20" customFormat="1" x14ac:dyDescent="0.3">
      <c r="A28" s="35" t="s">
        <v>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s="20" customFormat="1" x14ac:dyDescent="0.3">
      <c r="A29" s="20" t="s">
        <v>184</v>
      </c>
      <c r="B29" s="16">
        <f t="shared" ref="B29:D29" si="11">$F$7*$F$8*$F$9/10^6</f>
        <v>3.025776</v>
      </c>
      <c r="C29" s="16">
        <f t="shared" si="11"/>
        <v>3.025776</v>
      </c>
      <c r="D29" s="16">
        <f t="shared" si="11"/>
        <v>3.025776</v>
      </c>
      <c r="E29" s="16">
        <v>3.025776</v>
      </c>
      <c r="F29" s="16">
        <f t="shared" ref="F29:M29" si="12">$F$7*$F$8*$F$9/10^6</f>
        <v>3.025776</v>
      </c>
      <c r="G29" s="16">
        <f t="shared" si="12"/>
        <v>3.025776</v>
      </c>
      <c r="H29" s="16">
        <f t="shared" si="12"/>
        <v>3.025776</v>
      </c>
      <c r="I29" s="16">
        <f t="shared" si="12"/>
        <v>3.025776</v>
      </c>
      <c r="J29" s="16">
        <f t="shared" si="12"/>
        <v>3.025776</v>
      </c>
      <c r="K29" s="16">
        <f t="shared" si="12"/>
        <v>3.025776</v>
      </c>
      <c r="L29" s="16">
        <f t="shared" si="12"/>
        <v>3.025776</v>
      </c>
      <c r="M29" s="16">
        <f t="shared" si="12"/>
        <v>3.025776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s="20" customFormat="1" x14ac:dyDescent="0.3">
      <c r="A30" s="20" t="s">
        <v>3</v>
      </c>
      <c r="B30" s="16">
        <f>0.25*B29</f>
        <v>0.75644400000000001</v>
      </c>
      <c r="C30" s="16">
        <f>0.25*C29</f>
        <v>0.75644400000000001</v>
      </c>
      <c r="D30" s="16">
        <f>0.25*D29</f>
        <v>0.75644400000000001</v>
      </c>
      <c r="E30" s="16">
        <v>0.75644400000000001</v>
      </c>
      <c r="F30" s="16">
        <f t="shared" ref="F30:M30" si="13">0.25*F29</f>
        <v>0.75644400000000001</v>
      </c>
      <c r="G30" s="16">
        <f t="shared" si="13"/>
        <v>0.75644400000000001</v>
      </c>
      <c r="H30" s="16">
        <f t="shared" si="13"/>
        <v>0.75644400000000001</v>
      </c>
      <c r="I30" s="16">
        <f t="shared" si="13"/>
        <v>0.75644400000000001</v>
      </c>
      <c r="J30" s="16">
        <f t="shared" si="13"/>
        <v>0.75644400000000001</v>
      </c>
      <c r="K30" s="16">
        <f t="shared" si="13"/>
        <v>0.75644400000000001</v>
      </c>
      <c r="L30" s="16">
        <f t="shared" si="13"/>
        <v>0.75644400000000001</v>
      </c>
      <c r="M30" s="16">
        <f t="shared" si="13"/>
        <v>0.75644400000000001</v>
      </c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s="20" customFormat="1" x14ac:dyDescent="0.3">
      <c r="A31" s="20" t="s">
        <v>185</v>
      </c>
      <c r="B31" s="16">
        <f>0.45*(B29+B30)</f>
        <v>1.701999</v>
      </c>
      <c r="C31" s="16">
        <f>0.45*(C29+C30)</f>
        <v>1.701999</v>
      </c>
      <c r="D31" s="16">
        <f>0.45*(D29+D30)</f>
        <v>1.701999</v>
      </c>
      <c r="E31" s="16">
        <v>1.701999</v>
      </c>
      <c r="F31" s="16">
        <f t="shared" ref="F31:M31" si="14">0.45*(F29+F30)</f>
        <v>1.701999</v>
      </c>
      <c r="G31" s="16">
        <f t="shared" si="14"/>
        <v>1.701999</v>
      </c>
      <c r="H31" s="16">
        <f t="shared" si="14"/>
        <v>1.701999</v>
      </c>
      <c r="I31" s="16">
        <f t="shared" si="14"/>
        <v>1.701999</v>
      </c>
      <c r="J31" s="16">
        <f t="shared" si="14"/>
        <v>1.701999</v>
      </c>
      <c r="K31" s="16">
        <f t="shared" si="14"/>
        <v>1.701999</v>
      </c>
      <c r="L31" s="16">
        <f t="shared" si="14"/>
        <v>1.701999</v>
      </c>
      <c r="M31" s="16">
        <f t="shared" si="14"/>
        <v>1.701999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s="20" customFormat="1" x14ac:dyDescent="0.3">
      <c r="A32" s="20" t="s">
        <v>186</v>
      </c>
      <c r="B32" s="16">
        <f>0.03*B25</f>
        <v>0.9860088268799998</v>
      </c>
      <c r="C32" s="16">
        <f t="shared" ref="C32" si="15">0.03*C25</f>
        <v>1.4833721548800001</v>
      </c>
      <c r="D32" s="16">
        <f>0.03*D25</f>
        <v>30.957919312319998</v>
      </c>
      <c r="E32" s="16">
        <v>5.790384895679999</v>
      </c>
      <c r="F32" s="16">
        <f t="shared" ref="F32:M32" si="16">0.03*F25</f>
        <v>0.60350883516000009</v>
      </c>
      <c r="G32" s="16">
        <f t="shared" si="16"/>
        <v>8.5221948873600013</v>
      </c>
      <c r="H32" s="16">
        <f t="shared" si="16"/>
        <v>9.6610556196000008</v>
      </c>
      <c r="I32" s="16">
        <f t="shared" si="16"/>
        <v>83.889388875600005</v>
      </c>
      <c r="J32" s="16">
        <f t="shared" si="16"/>
        <v>23.644928538000002</v>
      </c>
      <c r="K32" s="16">
        <f t="shared" si="16"/>
        <v>60.12</v>
      </c>
      <c r="L32" s="16">
        <f t="shared" si="16"/>
        <v>12.943391630400003</v>
      </c>
      <c r="M32" s="16">
        <f t="shared" si="16"/>
        <v>19.4076130248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s="20" customFormat="1" x14ac:dyDescent="0.3">
      <c r="A33" s="20" t="s">
        <v>187</v>
      </c>
      <c r="B33" s="16">
        <f>0.65*(B29+B30+B31+B32)</f>
        <v>4.2056480874720004</v>
      </c>
      <c r="C33" s="16">
        <f>0.65*(C29+C30+C31+C32)</f>
        <v>4.5289342506720009</v>
      </c>
      <c r="D33" s="16">
        <f>0.65*(D29+D30+D31+D32)</f>
        <v>23.687389903008</v>
      </c>
      <c r="E33" s="16">
        <v>7.3284925321919996</v>
      </c>
      <c r="F33" s="16">
        <f t="shared" ref="F33:M33" si="17">0.65*(F29+F30+F31+F32)</f>
        <v>3.9570230928540009</v>
      </c>
      <c r="G33" s="16">
        <f t="shared" si="17"/>
        <v>9.1041690267840014</v>
      </c>
      <c r="H33" s="16">
        <f t="shared" si="17"/>
        <v>9.8444285027400014</v>
      </c>
      <c r="I33" s="16">
        <f t="shared" si="17"/>
        <v>58.092845119140001</v>
      </c>
      <c r="J33" s="16">
        <f t="shared" si="17"/>
        <v>18.933945899700003</v>
      </c>
      <c r="K33" s="16">
        <f t="shared" si="17"/>
        <v>42.642742349999999</v>
      </c>
      <c r="L33" s="16">
        <f t="shared" si="17"/>
        <v>11.977946909760004</v>
      </c>
      <c r="M33" s="16">
        <f t="shared" si="17"/>
        <v>16.179690816120001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x14ac:dyDescent="0.3">
      <c r="A34" s="7" t="s">
        <v>188</v>
      </c>
      <c r="B34" s="16">
        <f>0.015*B25</f>
        <v>0.4930044134399999</v>
      </c>
      <c r="C34" s="16">
        <f t="shared" ref="C34" si="18">0.015*C25</f>
        <v>0.74168607744000004</v>
      </c>
      <c r="D34" s="16">
        <f>0.015*D25</f>
        <v>15.478959656159999</v>
      </c>
      <c r="E34" s="16">
        <v>2.8951924478399995</v>
      </c>
      <c r="F34" s="16">
        <f t="shared" ref="F34:M34" si="19">0.015*F25</f>
        <v>0.30175441758000004</v>
      </c>
      <c r="G34" s="16">
        <f t="shared" si="19"/>
        <v>4.2610974436800007</v>
      </c>
      <c r="H34" s="16">
        <f t="shared" si="19"/>
        <v>4.8305278098000004</v>
      </c>
      <c r="I34" s="16">
        <f t="shared" si="19"/>
        <v>41.944694437800003</v>
      </c>
      <c r="J34" s="16">
        <f t="shared" si="19"/>
        <v>11.822464269000001</v>
      </c>
      <c r="K34" s="16">
        <f t="shared" si="19"/>
        <v>30.06</v>
      </c>
      <c r="L34" s="16">
        <f t="shared" si="19"/>
        <v>6.4716958152000013</v>
      </c>
      <c r="M34" s="16">
        <f t="shared" si="19"/>
        <v>9.7038065123999999</v>
      </c>
      <c r="R34" s="16"/>
      <c r="S34" s="16"/>
      <c r="T34" s="16"/>
      <c r="U34" s="16"/>
      <c r="V34" s="16"/>
      <c r="W34" s="16"/>
      <c r="X34" s="16"/>
      <c r="Y34" s="16"/>
      <c r="Z34" s="19"/>
      <c r="AA34" s="19"/>
      <c r="AB34" s="19"/>
      <c r="AC34" s="19"/>
      <c r="AD34" s="19"/>
    </row>
    <row r="35" spans="1:30" x14ac:dyDescent="0.3">
      <c r="A35" s="8" t="s">
        <v>189</v>
      </c>
      <c r="B35" s="16">
        <f>SUM(B29:B34)</f>
        <v>11.168880327792001</v>
      </c>
      <c r="C35" s="16">
        <f t="shared" ref="C35" si="20">SUM(C29:C34)</f>
        <v>12.238211482992003</v>
      </c>
      <c r="D35" s="16">
        <f>SUM(D29:D34)</f>
        <v>75.608487871487995</v>
      </c>
      <c r="E35" s="16">
        <v>21.498288875711996</v>
      </c>
      <c r="F35" s="16">
        <f t="shared" ref="F35:M35" si="21">SUM(F29:F34)</f>
        <v>10.346505345594002</v>
      </c>
      <c r="G35" s="16">
        <f t="shared" si="21"/>
        <v>27.371680357824005</v>
      </c>
      <c r="H35" s="16">
        <f t="shared" si="21"/>
        <v>29.820230932140003</v>
      </c>
      <c r="I35" s="16">
        <f t="shared" si="21"/>
        <v>189.41114743253999</v>
      </c>
      <c r="J35" s="16">
        <f t="shared" si="21"/>
        <v>59.885557706700006</v>
      </c>
      <c r="K35" s="16">
        <f t="shared" si="21"/>
        <v>138.30696134999999</v>
      </c>
      <c r="L35" s="16">
        <f t="shared" si="21"/>
        <v>36.877253355360011</v>
      </c>
      <c r="M35" s="16">
        <f t="shared" si="21"/>
        <v>50.775329353319997</v>
      </c>
      <c r="R35" s="16"/>
      <c r="S35" s="16"/>
      <c r="T35" s="16"/>
      <c r="U35" s="16"/>
      <c r="V35" s="16"/>
      <c r="W35" s="16"/>
      <c r="X35" s="16"/>
      <c r="Y35" s="16"/>
      <c r="Z35" s="19"/>
      <c r="AA35" s="19"/>
      <c r="AB35" s="19"/>
      <c r="AC35" s="19"/>
      <c r="AD35" s="19"/>
    </row>
    <row r="36" spans="1:30" s="37" customFormat="1" ht="15" hidden="1" x14ac:dyDescent="0.3">
      <c r="A36" s="37" t="s">
        <v>114</v>
      </c>
      <c r="B36" s="36" t="e">
        <f>#REF!*10^6/#REF!/10^3</f>
        <v>#REF!</v>
      </c>
      <c r="C36" s="36">
        <f>B35*10^6/B16/10^3</f>
        <v>14.247838152560279</v>
      </c>
      <c r="D36" s="36">
        <f>C35*10^6/C16/10^3</f>
        <v>30.595528707480007</v>
      </c>
      <c r="E36" s="36" t="e">
        <f>#REF!*10^6/#REF!/10^3</f>
        <v>#REF!</v>
      </c>
      <c r="F36" s="36">
        <f>E35*10^6/E16/10^3</f>
        <v>84.772432475205036</v>
      </c>
      <c r="G36" s="36">
        <f>D35*10^6/D16/10^3</f>
        <v>86.094839297982219</v>
      </c>
      <c r="H36" s="36" t="e">
        <f>#REF!*10^6/#REF!/10^3</f>
        <v>#REF!</v>
      </c>
      <c r="I36" s="36" t="e">
        <f>#REF!*10^6/#REF!/10^3</f>
        <v>#REF!</v>
      </c>
      <c r="J36" s="36">
        <f t="shared" ref="J36:Q36" si="22">F35*10^6/F16/10^3</f>
        <v>115.47439001779021</v>
      </c>
      <c r="K36" s="36">
        <f t="shared" si="22"/>
        <v>92.597024214560221</v>
      </c>
      <c r="L36" s="36">
        <f t="shared" si="22"/>
        <v>94.848062761259555</v>
      </c>
      <c r="M36" s="36">
        <f t="shared" si="22"/>
        <v>355.83533239252307</v>
      </c>
      <c r="N36" s="36">
        <f t="shared" si="22"/>
        <v>57.033864482571438</v>
      </c>
      <c r="O36" s="36">
        <f t="shared" si="22"/>
        <v>385.90111983816968</v>
      </c>
      <c r="P36" s="36">
        <f t="shared" si="22"/>
        <v>91.438763588792483</v>
      </c>
      <c r="Q36" s="36">
        <f t="shared" si="22"/>
        <v>154.70849894369286</v>
      </c>
      <c r="R36" s="36" t="e">
        <f t="shared" ref="R36:Y36" si="23">R35*10^6/R16/10^3</f>
        <v>#DIV/0!</v>
      </c>
      <c r="S36" s="36" t="e">
        <f t="shared" si="23"/>
        <v>#DIV/0!</v>
      </c>
      <c r="T36" s="36" t="e">
        <f t="shared" si="23"/>
        <v>#DIV/0!</v>
      </c>
      <c r="U36" s="36" t="e">
        <f t="shared" si="23"/>
        <v>#DIV/0!</v>
      </c>
      <c r="V36" s="36" t="e">
        <f t="shared" si="23"/>
        <v>#DIV/0!</v>
      </c>
      <c r="W36" s="36" t="e">
        <f t="shared" si="23"/>
        <v>#DIV/0!</v>
      </c>
      <c r="X36" s="36" t="e">
        <f t="shared" si="23"/>
        <v>#DIV/0!</v>
      </c>
      <c r="Y36" s="36" t="e">
        <f t="shared" si="23"/>
        <v>#DIV/0!</v>
      </c>
      <c r="Z36" s="38"/>
      <c r="AA36" s="38"/>
      <c r="AB36" s="38"/>
      <c r="AC36" s="38"/>
      <c r="AD36" s="38"/>
    </row>
    <row r="37" spans="1:30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71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2:30" x14ac:dyDescent="0.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2:30" x14ac:dyDescent="0.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spans="2:30" x14ac:dyDescent="0.3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2:30" x14ac:dyDescent="0.3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2:30" x14ac:dyDescent="0.3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2:30" x14ac:dyDescent="0.3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spans="2:30" x14ac:dyDescent="0.3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2:30" x14ac:dyDescent="0.3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2:30" x14ac:dyDescent="0.3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2:30" x14ac:dyDescent="0.3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spans="2:30" x14ac:dyDescent="0.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2:30" x14ac:dyDescent="0.3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spans="2:30" x14ac:dyDescent="0.3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2:30" x14ac:dyDescent="0.3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spans="2:30" x14ac:dyDescent="0.3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2:30" x14ac:dyDescent="0.3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spans="2:30" x14ac:dyDescent="0.3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2:30" x14ac:dyDescent="0.3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spans="2:30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2:30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2:30" x14ac:dyDescent="0.3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2:30" x14ac:dyDescent="0.3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spans="2:30" x14ac:dyDescent="0.3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2:30" x14ac:dyDescent="0.3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spans="2:30" x14ac:dyDescent="0.3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2:30" x14ac:dyDescent="0.3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spans="2:30" x14ac:dyDescent="0.3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2:30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spans="2:30" x14ac:dyDescent="0.3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2:30" x14ac:dyDescent="0.3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spans="2:30" x14ac:dyDescent="0.3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2:30" x14ac:dyDescent="0.3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spans="2:30" x14ac:dyDescent="0.3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2:30" x14ac:dyDescent="0.3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spans="2:30" x14ac:dyDescent="0.3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2:30" x14ac:dyDescent="0.3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spans="2:30" x14ac:dyDescent="0.3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2:30" x14ac:dyDescent="0.3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spans="2:30" x14ac:dyDescent="0.3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2:30" x14ac:dyDescent="0.3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spans="2:30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2:30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spans="2:30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2:30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spans="2:30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2:30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spans="2:30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2:30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spans="2:30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2:30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spans="2:30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2:30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spans="2:30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2:30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spans="2:30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2:30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spans="2:30" x14ac:dyDescent="0.3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2:30" x14ac:dyDescent="0.3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spans="2:30" x14ac:dyDescent="0.3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2:30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spans="2:30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2:30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spans="2:30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2:30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spans="2:30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2:30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2:30" x14ac:dyDescent="0.3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2:30" x14ac:dyDescent="0.3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2:30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2:30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spans="2:30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2:30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2:30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2:30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2:30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2:30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spans="2:30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2:30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spans="2:30" x14ac:dyDescent="0.3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2:30" x14ac:dyDescent="0.3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spans="2:30" x14ac:dyDescent="0.3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2:30" x14ac:dyDescent="0.3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spans="2:30" x14ac:dyDescent="0.3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2:30" x14ac:dyDescent="0.3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2:30" x14ac:dyDescent="0.3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2:30" x14ac:dyDescent="0.3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spans="2:30" x14ac:dyDescent="0.3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2:30" x14ac:dyDescent="0.3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spans="2:30" x14ac:dyDescent="0.3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2:30" x14ac:dyDescent="0.3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spans="2:30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2:30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spans="2:30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2:30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spans="2:30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2:30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spans="2:30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2:30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spans="2:30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2:30" x14ac:dyDescent="0.3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spans="2:30" x14ac:dyDescent="0.3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2:30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spans="2:30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2:30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spans="2:30" x14ac:dyDescent="0.3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2:30" x14ac:dyDescent="0.3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spans="2:30" x14ac:dyDescent="0.3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2:30" x14ac:dyDescent="0.3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spans="2:30" x14ac:dyDescent="0.3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2:30" x14ac:dyDescent="0.3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spans="2:30" x14ac:dyDescent="0.3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2:30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spans="2:30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2:30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spans="2:30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2:30" x14ac:dyDescent="0.3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spans="2:30" x14ac:dyDescent="0.3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2:30" x14ac:dyDescent="0.3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spans="2:30" x14ac:dyDescent="0.3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2:30" x14ac:dyDescent="0.3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spans="2:30" x14ac:dyDescent="0.3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2:30" x14ac:dyDescent="0.3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spans="2:30" x14ac:dyDescent="0.3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2:30" x14ac:dyDescent="0.3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2:30" x14ac:dyDescent="0.3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2:30" x14ac:dyDescent="0.3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spans="2:30" x14ac:dyDescent="0.3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2:30" x14ac:dyDescent="0.3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spans="2:30" x14ac:dyDescent="0.3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2:30" x14ac:dyDescent="0.3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spans="2:30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2:30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spans="2:30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2:30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spans="2:30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2:30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spans="2:30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2:30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spans="2:30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2:30" x14ac:dyDescent="0.3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spans="2:30" x14ac:dyDescent="0.3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2:30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spans="2:30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2:30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spans="2:30" x14ac:dyDescent="0.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2:30" x14ac:dyDescent="0.3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spans="2:30" x14ac:dyDescent="0.3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2:30" x14ac:dyDescent="0.3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spans="2:30" x14ac:dyDescent="0.3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2:30" x14ac:dyDescent="0.3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spans="2:30" x14ac:dyDescent="0.3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2:30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spans="2:30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2:30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spans="2:30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2:30" x14ac:dyDescent="0.3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spans="2:30" x14ac:dyDescent="0.3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2:30" x14ac:dyDescent="0.3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spans="2:30" x14ac:dyDescent="0.3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2:30" x14ac:dyDescent="0.3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spans="2:30" x14ac:dyDescent="0.3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2:30" x14ac:dyDescent="0.3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spans="2:30" x14ac:dyDescent="0.3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2:30" x14ac:dyDescent="0.3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spans="2:30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2:30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spans="2:30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2:30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spans="2:30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2:30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spans="2:30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2:30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spans="2:30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2:30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spans="2:30" x14ac:dyDescent="0.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2:30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spans="2:30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2:30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spans="2:30" x14ac:dyDescent="0.3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2:30" x14ac:dyDescent="0.3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spans="2:30" x14ac:dyDescent="0.3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2:30" x14ac:dyDescent="0.3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spans="2:30" x14ac:dyDescent="0.3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2:30" x14ac:dyDescent="0.3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spans="2:30" x14ac:dyDescent="0.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2:30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spans="2:30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2:30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spans="2:30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2:30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2:30" x14ac:dyDescent="0.3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2:30" x14ac:dyDescent="0.3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spans="2:30" x14ac:dyDescent="0.3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2:30" x14ac:dyDescent="0.3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spans="2:30" x14ac:dyDescent="0.3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2:30" x14ac:dyDescent="0.3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spans="2:30" x14ac:dyDescent="0.3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2:30" x14ac:dyDescent="0.3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spans="2:30" x14ac:dyDescent="0.3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2:30" x14ac:dyDescent="0.3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spans="2:30" x14ac:dyDescent="0.3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2:30" x14ac:dyDescent="0.3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2:30" x14ac:dyDescent="0.3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2:30" x14ac:dyDescent="0.3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spans="2:30" x14ac:dyDescent="0.3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2:30" x14ac:dyDescent="0.3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spans="2:30" x14ac:dyDescent="0.3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2:30" x14ac:dyDescent="0.3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spans="2:30" x14ac:dyDescent="0.3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2:30" x14ac:dyDescent="0.3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spans="2:30" x14ac:dyDescent="0.3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2:30" x14ac:dyDescent="0.3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spans="2:30" x14ac:dyDescent="0.3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2:30" x14ac:dyDescent="0.3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spans="2:30" x14ac:dyDescent="0.3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2:30" x14ac:dyDescent="0.3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spans="2:30" x14ac:dyDescent="0.3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2:30" x14ac:dyDescent="0.3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spans="2:30" x14ac:dyDescent="0.3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2:30" x14ac:dyDescent="0.3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spans="2:30" x14ac:dyDescent="0.3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2:30" x14ac:dyDescent="0.3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spans="2:30" x14ac:dyDescent="0.3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2:30" x14ac:dyDescent="0.3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spans="2:30" x14ac:dyDescent="0.3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2:30" x14ac:dyDescent="0.3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2:30" x14ac:dyDescent="0.3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2:30" x14ac:dyDescent="0.3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spans="2:30" x14ac:dyDescent="0.3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2:30" x14ac:dyDescent="0.3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spans="2:30" x14ac:dyDescent="0.3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2:30" x14ac:dyDescent="0.3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spans="2:30" x14ac:dyDescent="0.3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2:30" x14ac:dyDescent="0.3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spans="2:30" x14ac:dyDescent="0.3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2:30" x14ac:dyDescent="0.3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spans="2:30" x14ac:dyDescent="0.3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2:30" x14ac:dyDescent="0.3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spans="2:30" x14ac:dyDescent="0.3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2:30" x14ac:dyDescent="0.3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spans="2:30" x14ac:dyDescent="0.3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2:30" x14ac:dyDescent="0.3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spans="2:30" x14ac:dyDescent="0.3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2:30" x14ac:dyDescent="0.3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spans="2:30" x14ac:dyDescent="0.3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2:30" x14ac:dyDescent="0.3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2:30" x14ac:dyDescent="0.3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2:30" x14ac:dyDescent="0.3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spans="2:30" x14ac:dyDescent="0.3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2:30" x14ac:dyDescent="0.3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spans="2:30" x14ac:dyDescent="0.3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2:30" x14ac:dyDescent="0.3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spans="2:30" x14ac:dyDescent="0.3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2:30" x14ac:dyDescent="0.3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spans="2:30" x14ac:dyDescent="0.3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2:30" x14ac:dyDescent="0.3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spans="2:30" x14ac:dyDescent="0.3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2:30" x14ac:dyDescent="0.3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spans="2:30" x14ac:dyDescent="0.3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2:30" x14ac:dyDescent="0.3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spans="2:30" x14ac:dyDescent="0.3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2:30" x14ac:dyDescent="0.3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spans="2:30" x14ac:dyDescent="0.3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</sheetData>
  <mergeCells count="2">
    <mergeCell ref="A3:A5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9D98-D6A1-4DF4-B397-66A667792A44}">
  <dimension ref="A1:I130"/>
  <sheetViews>
    <sheetView zoomScaleNormal="100" workbookViewId="0">
      <pane xSplit="1" topLeftCell="B1" activePane="topRight" state="frozen"/>
      <selection pane="topRight" activeCell="B19" sqref="B19:B24"/>
    </sheetView>
  </sheetViews>
  <sheetFormatPr defaultRowHeight="14" x14ac:dyDescent="0.3"/>
  <cols>
    <col min="1" max="1" width="8.81640625" style="7" bestFit="1" customWidth="1"/>
    <col min="2" max="2" width="30.08984375" style="19" customWidth="1"/>
    <col min="3" max="3" width="19.54296875" style="19" customWidth="1"/>
    <col min="4" max="7" width="15.90625" style="16" bestFit="1" customWidth="1"/>
    <col min="8" max="8" width="13.6328125" style="16" customWidth="1"/>
    <col min="9" max="16384" width="8.7265625" style="7"/>
  </cols>
  <sheetData>
    <row r="1" spans="1:9" x14ac:dyDescent="0.3">
      <c r="A1" s="7" t="s">
        <v>140</v>
      </c>
    </row>
    <row r="2" spans="1:9" x14ac:dyDescent="0.3">
      <c r="A2" s="7" t="s">
        <v>165</v>
      </c>
    </row>
    <row r="4" spans="1:9" ht="15" thickBot="1" x14ac:dyDescent="0.35">
      <c r="B4" s="14" t="s">
        <v>141</v>
      </c>
    </row>
    <row r="5" spans="1:9" ht="14.5" thickTop="1" x14ac:dyDescent="0.3">
      <c r="B5" s="61" t="s">
        <v>139</v>
      </c>
      <c r="C5" s="59" t="s">
        <v>66</v>
      </c>
      <c r="D5" s="59" t="s">
        <v>65</v>
      </c>
      <c r="E5" s="59" t="s">
        <v>64</v>
      </c>
      <c r="F5" s="59" t="s">
        <v>63</v>
      </c>
      <c r="G5" s="59" t="s">
        <v>64</v>
      </c>
      <c r="H5" s="59" t="s">
        <v>63</v>
      </c>
    </row>
    <row r="6" spans="1:9" x14ac:dyDescent="0.3">
      <c r="B6" s="14" t="s">
        <v>62</v>
      </c>
      <c r="C6" s="1">
        <v>143.80000000000001</v>
      </c>
      <c r="D6" s="1">
        <v>3.9</v>
      </c>
      <c r="E6" s="1">
        <v>604.9</v>
      </c>
      <c r="F6" s="1">
        <f>E6*2.326</f>
        <v>1406.9974</v>
      </c>
      <c r="G6" s="1">
        <v>2738.5</v>
      </c>
      <c r="H6" s="1">
        <f>G6*2.326</f>
        <v>6369.7510000000002</v>
      </c>
    </row>
    <row r="7" spans="1:9" x14ac:dyDescent="0.3">
      <c r="B7" s="14" t="s">
        <v>58</v>
      </c>
      <c r="C7" s="1">
        <v>155</v>
      </c>
      <c r="D7" s="1">
        <v>5.5</v>
      </c>
      <c r="E7" s="1">
        <v>655.55</v>
      </c>
      <c r="F7" s="1">
        <f t="shared" ref="F7:F9" si="0">E7*2.326</f>
        <v>1524.8092999999999</v>
      </c>
      <c r="G7" s="1">
        <v>2752.65</v>
      </c>
      <c r="H7" s="1">
        <f t="shared" ref="H7:H9" si="1">G7*2.326</f>
        <v>6402.6639000000005</v>
      </c>
    </row>
    <row r="8" spans="1:9" x14ac:dyDescent="0.3">
      <c r="B8" s="14" t="s">
        <v>59</v>
      </c>
      <c r="C8" s="1">
        <v>214</v>
      </c>
      <c r="D8" s="1">
        <v>21</v>
      </c>
      <c r="E8" s="1">
        <v>922.53</v>
      </c>
      <c r="F8" s="1">
        <f t="shared" si="0"/>
        <v>2145.8047799999999</v>
      </c>
      <c r="G8" s="1">
        <v>2799.75</v>
      </c>
      <c r="H8" s="1">
        <f t="shared" si="1"/>
        <v>6512.2184999999999</v>
      </c>
    </row>
    <row r="9" spans="1:9" ht="14.5" thickBot="1" x14ac:dyDescent="0.35">
      <c r="B9" s="62" t="s">
        <v>60</v>
      </c>
      <c r="C9" s="60">
        <v>265</v>
      </c>
      <c r="D9" s="60">
        <v>51</v>
      </c>
      <c r="E9" s="60">
        <v>1154.22</v>
      </c>
      <c r="F9" s="60">
        <f t="shared" si="0"/>
        <v>2684.7157200000001</v>
      </c>
      <c r="G9" s="60">
        <v>2793.7</v>
      </c>
      <c r="H9" s="60">
        <f t="shared" si="1"/>
        <v>6498.1462000000001</v>
      </c>
      <c r="I9" s="1"/>
    </row>
    <row r="10" spans="1:9" ht="14.5" thickTop="1" x14ac:dyDescent="0.3">
      <c r="H10" s="1"/>
      <c r="I10" s="1"/>
    </row>
    <row r="11" spans="1:9" x14ac:dyDescent="0.3">
      <c r="H11" s="1"/>
      <c r="I11" s="1"/>
    </row>
    <row r="12" spans="1:9" x14ac:dyDescent="0.3">
      <c r="A12" s="10"/>
      <c r="H12" s="1"/>
      <c r="I12" s="1"/>
    </row>
    <row r="13" spans="1:9" ht="15" customHeight="1" x14ac:dyDescent="0.3">
      <c r="B13" s="23" t="s">
        <v>68</v>
      </c>
      <c r="C13" s="23" t="s">
        <v>67</v>
      </c>
      <c r="D13" s="21" t="s">
        <v>60</v>
      </c>
      <c r="E13" s="21" t="s">
        <v>59</v>
      </c>
      <c r="F13" s="21" t="s">
        <v>58</v>
      </c>
      <c r="G13" s="21" t="s">
        <v>62</v>
      </c>
      <c r="H13" s="1"/>
      <c r="I13" s="1"/>
    </row>
    <row r="14" spans="1:9" x14ac:dyDescent="0.3">
      <c r="A14" s="14" t="s">
        <v>55</v>
      </c>
      <c r="B14" s="15" t="s">
        <v>192</v>
      </c>
      <c r="C14" s="15" t="s">
        <v>193</v>
      </c>
      <c r="D14" s="15" t="s">
        <v>193</v>
      </c>
      <c r="E14" s="15" t="s">
        <v>193</v>
      </c>
      <c r="F14" s="15" t="s">
        <v>193</v>
      </c>
      <c r="G14" s="15" t="s">
        <v>193</v>
      </c>
    </row>
    <row r="15" spans="1:9" x14ac:dyDescent="0.3">
      <c r="A15" s="13">
        <v>43101</v>
      </c>
      <c r="B15" s="16">
        <v>7.56</v>
      </c>
      <c r="C15" s="16">
        <f>B15*3.421/3.6</f>
        <v>7.184099999999999</v>
      </c>
      <c r="D15" s="16">
        <f>C15*(1+0.3)/0.85</f>
        <v>10.987447058823529</v>
      </c>
      <c r="E15" s="16">
        <f t="shared" ref="E15:E46" si="2">D15*($G$9-$E$9)/($G$8-$E$8)</f>
        <v>9.5959449100265264</v>
      </c>
      <c r="F15" s="16">
        <f t="shared" ref="F15:F46" si="3">E15*($G$8-$E$8)/($G$7-$E$7)</f>
        <v>8.5898143645987286</v>
      </c>
      <c r="G15" s="16">
        <f t="shared" ref="G15:G46" si="4">F15*($G$7-$E$7)/($G$6-$E$6)</f>
        <v>8.442866377952754</v>
      </c>
    </row>
    <row r="16" spans="1:9" x14ac:dyDescent="0.3">
      <c r="A16" s="13">
        <v>43132</v>
      </c>
      <c r="B16" s="16">
        <v>6.87</v>
      </c>
      <c r="C16" s="16">
        <f t="shared" ref="C16:C79" si="5">B16*3.421/3.6</f>
        <v>6.5284083333333331</v>
      </c>
      <c r="D16" s="16">
        <f t="shared" ref="D16:D79" si="6">C16*(1+0.3)/0.85</f>
        <v>9.9846245098039219</v>
      </c>
      <c r="E16" s="16">
        <f t="shared" si="2"/>
        <v>8.7201245412542647</v>
      </c>
      <c r="F16" s="16">
        <f t="shared" si="3"/>
        <v>7.8058233710044007</v>
      </c>
      <c r="G16" s="16">
        <f t="shared" si="4"/>
        <v>7.6722873037745272</v>
      </c>
    </row>
    <row r="17" spans="1:7" x14ac:dyDescent="0.3">
      <c r="A17" s="13">
        <v>43160</v>
      </c>
      <c r="B17" s="16">
        <v>7.03</v>
      </c>
      <c r="C17" s="16">
        <f t="shared" si="5"/>
        <v>6.680452777777778</v>
      </c>
      <c r="D17" s="16">
        <f t="shared" si="6"/>
        <v>10.217163071895426</v>
      </c>
      <c r="E17" s="16">
        <f t="shared" si="2"/>
        <v>8.9232133224188477</v>
      </c>
      <c r="F17" s="16">
        <f t="shared" si="3"/>
        <v>7.9876183840117809</v>
      </c>
      <c r="G17" s="16">
        <f t="shared" si="4"/>
        <v>7.8509723064825225</v>
      </c>
    </row>
    <row r="18" spans="1:7" x14ac:dyDescent="0.3">
      <c r="A18" s="13">
        <v>43191</v>
      </c>
      <c r="B18" s="16">
        <v>7.81</v>
      </c>
      <c r="C18" s="16">
        <f t="shared" si="5"/>
        <v>7.4216694444444435</v>
      </c>
      <c r="D18" s="16">
        <f t="shared" si="6"/>
        <v>11.350788562091502</v>
      </c>
      <c r="E18" s="16">
        <f t="shared" si="2"/>
        <v>9.9132711305961863</v>
      </c>
      <c r="F18" s="16">
        <f t="shared" si="3"/>
        <v>8.8738690724227585</v>
      </c>
      <c r="G18" s="16">
        <f t="shared" si="4"/>
        <v>8.7220616946839957</v>
      </c>
    </row>
    <row r="19" spans="1:7" x14ac:dyDescent="0.3">
      <c r="A19" s="13">
        <v>43221</v>
      </c>
      <c r="B19" s="16">
        <v>7.19</v>
      </c>
      <c r="C19" s="16">
        <f t="shared" si="5"/>
        <v>6.8324972222222229</v>
      </c>
      <c r="D19" s="16">
        <f t="shared" si="6"/>
        <v>10.44970163398693</v>
      </c>
      <c r="E19" s="16">
        <f t="shared" si="2"/>
        <v>9.1263021035834306</v>
      </c>
      <c r="F19" s="16">
        <f t="shared" si="3"/>
        <v>8.1694133970191629</v>
      </c>
      <c r="G19" s="16">
        <f t="shared" si="4"/>
        <v>8.0296573091905188</v>
      </c>
    </row>
    <row r="20" spans="1:7" x14ac:dyDescent="0.3">
      <c r="A20" s="13">
        <v>43252</v>
      </c>
      <c r="B20" s="16">
        <v>7.19</v>
      </c>
      <c r="C20" s="16">
        <f t="shared" si="5"/>
        <v>6.8324972222222229</v>
      </c>
      <c r="D20" s="16">
        <f t="shared" si="6"/>
        <v>10.44970163398693</v>
      </c>
      <c r="E20" s="16">
        <f t="shared" si="2"/>
        <v>9.1263021035834306</v>
      </c>
      <c r="F20" s="16">
        <f t="shared" si="3"/>
        <v>8.1694133970191629</v>
      </c>
      <c r="G20" s="16">
        <f t="shared" si="4"/>
        <v>8.0296573091905188</v>
      </c>
    </row>
    <row r="21" spans="1:7" x14ac:dyDescent="0.3">
      <c r="A21" s="13">
        <v>43282</v>
      </c>
      <c r="B21" s="16">
        <v>7.25</v>
      </c>
      <c r="C21" s="16">
        <f t="shared" si="5"/>
        <v>6.8895138888888878</v>
      </c>
      <c r="D21" s="16">
        <f t="shared" si="6"/>
        <v>10.536903594771241</v>
      </c>
      <c r="E21" s="16">
        <f t="shared" si="2"/>
        <v>9.2024603965201486</v>
      </c>
      <c r="F21" s="16">
        <f t="shared" si="3"/>
        <v>8.2375865268969282</v>
      </c>
      <c r="G21" s="16">
        <f t="shared" si="4"/>
        <v>8.0966641852060146</v>
      </c>
    </row>
    <row r="22" spans="1:7" x14ac:dyDescent="0.3">
      <c r="A22" s="13">
        <v>43313</v>
      </c>
      <c r="B22" s="16">
        <v>7.98</v>
      </c>
      <c r="C22" s="16">
        <f t="shared" si="5"/>
        <v>7.5832166666666661</v>
      </c>
      <c r="D22" s="16">
        <f t="shared" si="6"/>
        <v>11.597860784313726</v>
      </c>
      <c r="E22" s="16">
        <f t="shared" si="2"/>
        <v>10.129052960583556</v>
      </c>
      <c r="F22" s="16">
        <f t="shared" si="3"/>
        <v>9.0670262737431031</v>
      </c>
      <c r="G22" s="16">
        <f t="shared" si="4"/>
        <v>8.9119145100612407</v>
      </c>
    </row>
    <row r="23" spans="1:7" x14ac:dyDescent="0.3">
      <c r="A23" s="13">
        <v>43344</v>
      </c>
      <c r="B23" s="16">
        <v>8.1999999999999993</v>
      </c>
      <c r="C23" s="16">
        <f t="shared" si="5"/>
        <v>7.7922777777777767</v>
      </c>
      <c r="D23" s="16">
        <f t="shared" si="6"/>
        <v>11.917601307189541</v>
      </c>
      <c r="E23" s="16">
        <f t="shared" si="2"/>
        <v>10.408300034684856</v>
      </c>
      <c r="F23" s="16">
        <f t="shared" si="3"/>
        <v>9.3169944166282495</v>
      </c>
      <c r="G23" s="16">
        <f t="shared" si="4"/>
        <v>9.1576063887847337</v>
      </c>
    </row>
    <row r="24" spans="1:7" x14ac:dyDescent="0.3">
      <c r="A24" s="13">
        <v>43374</v>
      </c>
      <c r="B24" s="16">
        <v>8.7899999999999991</v>
      </c>
      <c r="C24" s="16">
        <f t="shared" si="5"/>
        <v>8.3529416666666645</v>
      </c>
      <c r="D24" s="16">
        <f t="shared" si="6"/>
        <v>12.775087254901958</v>
      </c>
      <c r="E24" s="16">
        <f t="shared" si="2"/>
        <v>11.157189915229253</v>
      </c>
      <c r="F24" s="16">
        <f t="shared" si="3"/>
        <v>9.987363527092965</v>
      </c>
      <c r="G24" s="16">
        <f t="shared" si="4"/>
        <v>9.8165073362704636</v>
      </c>
    </row>
    <row r="25" spans="1:7" x14ac:dyDescent="0.3">
      <c r="A25" s="13">
        <v>43405</v>
      </c>
      <c r="B25" s="16">
        <v>8.27</v>
      </c>
      <c r="C25" s="16">
        <f t="shared" si="5"/>
        <v>7.8587972222222211</v>
      </c>
      <c r="D25" s="16">
        <f t="shared" si="6"/>
        <v>12.019336928104574</v>
      </c>
      <c r="E25" s="16">
        <f t="shared" si="2"/>
        <v>10.497151376444362</v>
      </c>
      <c r="F25" s="16">
        <f t="shared" si="3"/>
        <v>9.39652973481898</v>
      </c>
      <c r="G25" s="16">
        <f t="shared" si="4"/>
        <v>9.2357810774694826</v>
      </c>
    </row>
    <row r="26" spans="1:7" x14ac:dyDescent="0.3">
      <c r="A26" s="13">
        <v>43435</v>
      </c>
      <c r="B26" s="16">
        <v>7.98</v>
      </c>
      <c r="C26" s="16">
        <f t="shared" si="5"/>
        <v>7.5832166666666661</v>
      </c>
      <c r="D26" s="16">
        <f t="shared" si="6"/>
        <v>11.597860784313726</v>
      </c>
      <c r="E26" s="16">
        <f t="shared" si="2"/>
        <v>10.129052960583556</v>
      </c>
      <c r="F26" s="16">
        <f t="shared" si="3"/>
        <v>9.0670262737431031</v>
      </c>
      <c r="G26" s="16">
        <f t="shared" si="4"/>
        <v>8.9119145100612407</v>
      </c>
    </row>
    <row r="27" spans="1:7" x14ac:dyDescent="0.3">
      <c r="A27" s="13">
        <v>43466</v>
      </c>
      <c r="B27" s="16">
        <v>7.3</v>
      </c>
      <c r="C27" s="16">
        <f t="shared" si="5"/>
        <v>6.9370277777777769</v>
      </c>
      <c r="D27" s="16">
        <f t="shared" si="6"/>
        <v>10.609571895424835</v>
      </c>
      <c r="E27" s="16">
        <f t="shared" si="2"/>
        <v>9.2659256406340784</v>
      </c>
      <c r="F27" s="16">
        <f t="shared" si="3"/>
        <v>8.2943974684617352</v>
      </c>
      <c r="G27" s="16">
        <f t="shared" si="4"/>
        <v>8.1525032485522626</v>
      </c>
    </row>
    <row r="28" spans="1:7" x14ac:dyDescent="0.3">
      <c r="A28" s="13">
        <v>43497</v>
      </c>
      <c r="B28" s="16">
        <v>6.01</v>
      </c>
      <c r="C28" s="16">
        <f t="shared" si="5"/>
        <v>5.7111694444444439</v>
      </c>
      <c r="D28" s="16">
        <f t="shared" si="6"/>
        <v>8.7347297385620912</v>
      </c>
      <c r="E28" s="16">
        <f t="shared" si="2"/>
        <v>7.6285223424946329</v>
      </c>
      <c r="F28" s="16">
        <f t="shared" si="3"/>
        <v>6.82867517608973</v>
      </c>
      <c r="G28" s="16">
        <f t="shared" si="4"/>
        <v>6.7118554142190554</v>
      </c>
    </row>
    <row r="29" spans="1:7" x14ac:dyDescent="0.3">
      <c r="A29" s="13">
        <v>43525</v>
      </c>
      <c r="B29" s="16">
        <v>5.18</v>
      </c>
      <c r="C29" s="16">
        <f t="shared" si="5"/>
        <v>4.9224388888888884</v>
      </c>
      <c r="D29" s="16">
        <f t="shared" si="6"/>
        <v>7.5284359477124179</v>
      </c>
      <c r="E29" s="16">
        <f t="shared" si="2"/>
        <v>6.5749992902033609</v>
      </c>
      <c r="F29" s="16">
        <f t="shared" si="3"/>
        <v>5.8856135461139436</v>
      </c>
      <c r="G29" s="16">
        <f t="shared" si="4"/>
        <v>5.7849269626713316</v>
      </c>
    </row>
    <row r="30" spans="1:7" x14ac:dyDescent="0.3">
      <c r="A30" s="13">
        <v>43556</v>
      </c>
      <c r="B30" s="16">
        <v>4.92</v>
      </c>
      <c r="C30" s="16">
        <f t="shared" si="5"/>
        <v>4.6753666666666662</v>
      </c>
      <c r="D30" s="16">
        <f t="shared" si="6"/>
        <v>7.1505607843137255</v>
      </c>
      <c r="E30" s="16">
        <f t="shared" si="2"/>
        <v>6.2449800208109147</v>
      </c>
      <c r="F30" s="16">
        <f t="shared" si="3"/>
        <v>5.5901966499769502</v>
      </c>
      <c r="G30" s="16">
        <f t="shared" si="4"/>
        <v>5.4945638332708402</v>
      </c>
    </row>
    <row r="31" spans="1:7" x14ac:dyDescent="0.3">
      <c r="A31" s="13">
        <v>43586</v>
      </c>
      <c r="B31" s="16">
        <v>4.34</v>
      </c>
      <c r="C31" s="16">
        <f t="shared" si="5"/>
        <v>4.1242055555555552</v>
      </c>
      <c r="D31" s="16">
        <f t="shared" si="6"/>
        <v>6.3076084967320263</v>
      </c>
      <c r="E31" s="16">
        <f t="shared" si="2"/>
        <v>5.5087831890893026</v>
      </c>
      <c r="F31" s="16">
        <f t="shared" si="3"/>
        <v>4.9311897278251964</v>
      </c>
      <c r="G31" s="16">
        <f t="shared" si="4"/>
        <v>4.846830698454359</v>
      </c>
    </row>
    <row r="32" spans="1:7" x14ac:dyDescent="0.3">
      <c r="A32" s="13">
        <v>43617</v>
      </c>
      <c r="B32" s="16">
        <v>3.59</v>
      </c>
      <c r="C32" s="16">
        <f t="shared" si="5"/>
        <v>3.4114972222222217</v>
      </c>
      <c r="D32" s="16">
        <f t="shared" si="6"/>
        <v>5.217583986928104</v>
      </c>
      <c r="E32" s="16">
        <f t="shared" si="2"/>
        <v>4.5568045273803213</v>
      </c>
      <c r="F32" s="16">
        <f t="shared" si="3"/>
        <v>4.0790256043530997</v>
      </c>
      <c r="G32" s="16">
        <f t="shared" si="4"/>
        <v>4.0092447482606328</v>
      </c>
    </row>
    <row r="33" spans="1:7" x14ac:dyDescent="0.3">
      <c r="A33" s="13">
        <v>43647</v>
      </c>
      <c r="B33" s="16">
        <v>3.62</v>
      </c>
      <c r="C33" s="16">
        <f t="shared" si="5"/>
        <v>3.4400055555555555</v>
      </c>
      <c r="D33" s="16">
        <f t="shared" si="6"/>
        <v>5.2611849673202622</v>
      </c>
      <c r="E33" s="16">
        <f t="shared" si="2"/>
        <v>4.5948836738486811</v>
      </c>
      <c r="F33" s="16">
        <f t="shared" si="3"/>
        <v>4.1131121692919841</v>
      </c>
      <c r="G33" s="16">
        <f t="shared" si="4"/>
        <v>4.0427481862683834</v>
      </c>
    </row>
    <row r="34" spans="1:7" x14ac:dyDescent="0.3">
      <c r="A34" s="13">
        <v>43678</v>
      </c>
      <c r="B34" s="16">
        <v>3.68</v>
      </c>
      <c r="C34" s="16">
        <f t="shared" si="5"/>
        <v>3.4970222222222223</v>
      </c>
      <c r="D34" s="16">
        <f t="shared" si="6"/>
        <v>5.3483869281045759</v>
      </c>
      <c r="E34" s="16">
        <f t="shared" si="2"/>
        <v>4.6710419667854</v>
      </c>
      <c r="F34" s="16">
        <f t="shared" si="3"/>
        <v>4.181285299169752</v>
      </c>
      <c r="G34" s="16">
        <f t="shared" si="4"/>
        <v>4.109755062283881</v>
      </c>
    </row>
    <row r="35" spans="1:7" x14ac:dyDescent="0.3">
      <c r="A35" s="13">
        <v>43709</v>
      </c>
      <c r="B35" s="16">
        <v>4.21</v>
      </c>
      <c r="C35" s="16">
        <f t="shared" si="5"/>
        <v>4.0006694444444442</v>
      </c>
      <c r="D35" s="16">
        <f t="shared" si="6"/>
        <v>6.1186709150326797</v>
      </c>
      <c r="E35" s="16">
        <f t="shared" si="2"/>
        <v>5.3437735543930796</v>
      </c>
      <c r="F35" s="16">
        <f t="shared" si="3"/>
        <v>4.7834812797566997</v>
      </c>
      <c r="G35" s="16">
        <f t="shared" si="4"/>
        <v>4.7016491337541133</v>
      </c>
    </row>
    <row r="36" spans="1:7" x14ac:dyDescent="0.3">
      <c r="A36" s="13">
        <v>43739</v>
      </c>
      <c r="B36" s="16">
        <v>5.0599999999999996</v>
      </c>
      <c r="C36" s="16">
        <f t="shared" si="5"/>
        <v>4.808405555555554</v>
      </c>
      <c r="D36" s="16">
        <f t="shared" si="6"/>
        <v>7.3540320261437886</v>
      </c>
      <c r="E36" s="16">
        <f t="shared" si="2"/>
        <v>6.4226827043299224</v>
      </c>
      <c r="F36" s="16">
        <f t="shared" si="3"/>
        <v>5.7492672863584069</v>
      </c>
      <c r="G36" s="16">
        <f t="shared" si="4"/>
        <v>5.6509132106403346</v>
      </c>
    </row>
    <row r="37" spans="1:7" x14ac:dyDescent="0.3">
      <c r="A37" s="13">
        <v>43770</v>
      </c>
      <c r="B37" s="16">
        <v>5.15</v>
      </c>
      <c r="C37" s="16">
        <f t="shared" si="5"/>
        <v>4.8939305555555555</v>
      </c>
      <c r="D37" s="16">
        <f t="shared" si="6"/>
        <v>7.4848349673202623</v>
      </c>
      <c r="E37" s="16">
        <f t="shared" si="2"/>
        <v>6.5369201437350029</v>
      </c>
      <c r="F37" s="16">
        <f t="shared" si="3"/>
        <v>5.851526981175061</v>
      </c>
      <c r="G37" s="16">
        <f t="shared" si="4"/>
        <v>5.7514235246635836</v>
      </c>
    </row>
    <row r="38" spans="1:7" x14ac:dyDescent="0.3">
      <c r="A38" s="13">
        <v>43800</v>
      </c>
      <c r="B38" s="16">
        <v>4.62</v>
      </c>
      <c r="C38" s="16">
        <f t="shared" si="5"/>
        <v>4.3902833333333326</v>
      </c>
      <c r="D38" s="16">
        <f t="shared" si="6"/>
        <v>6.7145509803921559</v>
      </c>
      <c r="E38" s="16">
        <f t="shared" si="2"/>
        <v>5.8641885561273215</v>
      </c>
      <c r="F38" s="16">
        <f t="shared" si="3"/>
        <v>5.2493310005881115</v>
      </c>
      <c r="G38" s="16">
        <f t="shared" si="4"/>
        <v>5.1595294531933495</v>
      </c>
    </row>
    <row r="39" spans="1:7" x14ac:dyDescent="0.3">
      <c r="A39" s="13">
        <v>43831</v>
      </c>
      <c r="B39" s="16">
        <v>3.63</v>
      </c>
      <c r="C39" s="16">
        <f t="shared" si="5"/>
        <v>3.4495083333333332</v>
      </c>
      <c r="D39" s="16">
        <f t="shared" si="6"/>
        <v>5.2757186274509804</v>
      </c>
      <c r="E39" s="16">
        <f t="shared" si="2"/>
        <v>4.6075767226714675</v>
      </c>
      <c r="F39" s="16">
        <f t="shared" si="3"/>
        <v>4.124474357604945</v>
      </c>
      <c r="G39" s="16">
        <f t="shared" si="4"/>
        <v>4.0539159989376321</v>
      </c>
    </row>
    <row r="40" spans="1:7" x14ac:dyDescent="0.3">
      <c r="A40" s="13">
        <v>43862</v>
      </c>
      <c r="B40" s="16">
        <v>2.91</v>
      </c>
      <c r="C40" s="16">
        <f t="shared" si="5"/>
        <v>2.765308333333333</v>
      </c>
      <c r="D40" s="16">
        <f t="shared" si="6"/>
        <v>4.2292950980392154</v>
      </c>
      <c r="E40" s="16">
        <f t="shared" si="2"/>
        <v>3.6936772074308455</v>
      </c>
      <c r="F40" s="16">
        <f t="shared" si="3"/>
        <v>3.3063967990717327</v>
      </c>
      <c r="G40" s="16">
        <f t="shared" si="4"/>
        <v>3.2498334867516556</v>
      </c>
    </row>
    <row r="41" spans="1:7" x14ac:dyDescent="0.3">
      <c r="A41" s="13">
        <v>43891</v>
      </c>
      <c r="B41" s="16">
        <v>2.72</v>
      </c>
      <c r="C41" s="16">
        <f t="shared" si="5"/>
        <v>2.5847555555555557</v>
      </c>
      <c r="D41" s="16">
        <f t="shared" si="6"/>
        <v>3.953155555555556</v>
      </c>
      <c r="E41" s="16">
        <f t="shared" si="2"/>
        <v>3.4525092797979045</v>
      </c>
      <c r="F41" s="16">
        <f t="shared" si="3"/>
        <v>3.0905152211254689</v>
      </c>
      <c r="G41" s="16">
        <f t="shared" si="4"/>
        <v>3.0376450460359123</v>
      </c>
    </row>
    <row r="42" spans="1:7" x14ac:dyDescent="0.3">
      <c r="A42" s="13">
        <v>43922</v>
      </c>
      <c r="B42" s="16">
        <v>2.12</v>
      </c>
      <c r="C42" s="16">
        <f t="shared" si="5"/>
        <v>2.0145888888888885</v>
      </c>
      <c r="D42" s="16">
        <f t="shared" si="6"/>
        <v>3.0811359477124181</v>
      </c>
      <c r="E42" s="16">
        <f t="shared" si="2"/>
        <v>2.6909263504307193</v>
      </c>
      <c r="F42" s="16">
        <f t="shared" si="3"/>
        <v>2.4087839223477916</v>
      </c>
      <c r="G42" s="16">
        <f t="shared" si="4"/>
        <v>2.3675762858809315</v>
      </c>
    </row>
    <row r="43" spans="1:7" x14ac:dyDescent="0.3">
      <c r="A43" s="13">
        <v>43952</v>
      </c>
      <c r="B43" s="16">
        <v>1.58</v>
      </c>
      <c r="C43" s="16">
        <f t="shared" si="5"/>
        <v>1.5014388888888888</v>
      </c>
      <c r="D43" s="16">
        <f t="shared" si="6"/>
        <v>2.2963183006535948</v>
      </c>
      <c r="E43" s="16">
        <f t="shared" si="2"/>
        <v>2.0055017140002529</v>
      </c>
      <c r="F43" s="16">
        <f t="shared" si="3"/>
        <v>1.7952257534478824</v>
      </c>
      <c r="G43" s="16">
        <f t="shared" si="4"/>
        <v>1.7645144017414487</v>
      </c>
    </row>
    <row r="44" spans="1:7" x14ac:dyDescent="0.3">
      <c r="A44" s="13">
        <v>43983</v>
      </c>
      <c r="B44" s="16">
        <v>1.75</v>
      </c>
      <c r="C44" s="16">
        <f t="shared" si="5"/>
        <v>1.6629861111111111</v>
      </c>
      <c r="D44" s="16">
        <f t="shared" si="6"/>
        <v>2.5433905228758174</v>
      </c>
      <c r="E44" s="16">
        <f t="shared" si="2"/>
        <v>2.2212835439876226</v>
      </c>
      <c r="F44" s="16">
        <f t="shared" si="3"/>
        <v>1.9883829547682248</v>
      </c>
      <c r="G44" s="16">
        <f t="shared" si="4"/>
        <v>1.9543672171186937</v>
      </c>
    </row>
    <row r="45" spans="1:7" x14ac:dyDescent="0.3">
      <c r="A45" s="13">
        <v>44013</v>
      </c>
      <c r="B45" s="16">
        <v>1.8</v>
      </c>
      <c r="C45" s="16">
        <f t="shared" si="5"/>
        <v>1.7104999999999999</v>
      </c>
      <c r="D45" s="16">
        <f t="shared" si="6"/>
        <v>2.616058823529412</v>
      </c>
      <c r="E45" s="16">
        <f t="shared" si="2"/>
        <v>2.2847487881015547</v>
      </c>
      <c r="F45" s="16">
        <f t="shared" si="3"/>
        <v>2.0451938963330312</v>
      </c>
      <c r="G45" s="16">
        <f t="shared" si="4"/>
        <v>2.0102062804649421</v>
      </c>
    </row>
    <row r="46" spans="1:7" x14ac:dyDescent="0.3">
      <c r="A46" s="13">
        <v>44044</v>
      </c>
      <c r="B46" s="16">
        <v>2.86</v>
      </c>
      <c r="C46" s="16">
        <f t="shared" si="5"/>
        <v>2.717794444444444</v>
      </c>
      <c r="D46" s="16">
        <f t="shared" si="6"/>
        <v>4.1566267973856208</v>
      </c>
      <c r="E46" s="16">
        <f t="shared" si="2"/>
        <v>3.6302119633169139</v>
      </c>
      <c r="F46" s="16">
        <f t="shared" si="3"/>
        <v>3.2495858575069265</v>
      </c>
      <c r="G46" s="16">
        <f t="shared" si="4"/>
        <v>3.1939944234054072</v>
      </c>
    </row>
    <row r="47" spans="1:7" x14ac:dyDescent="0.3">
      <c r="A47" s="13">
        <v>44075</v>
      </c>
      <c r="B47" s="16">
        <v>3.95</v>
      </c>
      <c r="C47" s="16">
        <f t="shared" si="5"/>
        <v>3.753597222222222</v>
      </c>
      <c r="D47" s="16">
        <f t="shared" si="6"/>
        <v>5.7407957516339874</v>
      </c>
      <c r="E47" s="16">
        <f t="shared" ref="E47:E78" si="7">D47*($G$9-$E$9)/($G$8-$E$8)</f>
        <v>5.0137542850006325</v>
      </c>
      <c r="F47" s="16">
        <f t="shared" ref="F47:F78" si="8">E47*($G$8-$E$8)/($G$7-$E$7)</f>
        <v>4.4880643836197063</v>
      </c>
      <c r="G47" s="16">
        <f t="shared" ref="G47:G78" si="9">F47*($G$7-$E$7)/($G$6-$E$6)</f>
        <v>4.4112860043536219</v>
      </c>
    </row>
    <row r="48" spans="1:7" x14ac:dyDescent="0.3">
      <c r="A48" s="13">
        <v>44105</v>
      </c>
      <c r="B48" s="16">
        <v>4.8899999999999997</v>
      </c>
      <c r="C48" s="16">
        <f t="shared" si="5"/>
        <v>4.6468583333333324</v>
      </c>
      <c r="D48" s="16">
        <f t="shared" si="6"/>
        <v>7.1069598039215673</v>
      </c>
      <c r="E48" s="16">
        <f t="shared" si="7"/>
        <v>6.206900874342554</v>
      </c>
      <c r="F48" s="16">
        <f t="shared" si="8"/>
        <v>5.5561100850380658</v>
      </c>
      <c r="G48" s="16">
        <f t="shared" si="9"/>
        <v>5.4610603952630905</v>
      </c>
    </row>
    <row r="49" spans="1:7" x14ac:dyDescent="0.3">
      <c r="A49" s="13">
        <v>44136</v>
      </c>
      <c r="B49" s="16">
        <v>4.84</v>
      </c>
      <c r="C49" s="16">
        <f t="shared" si="5"/>
        <v>4.5993444444444442</v>
      </c>
      <c r="D49" s="16">
        <f t="shared" si="6"/>
        <v>7.0342915032679736</v>
      </c>
      <c r="E49" s="16">
        <f t="shared" si="7"/>
        <v>6.1434356302286224</v>
      </c>
      <c r="F49" s="16">
        <f t="shared" si="8"/>
        <v>5.4992991434732597</v>
      </c>
      <c r="G49" s="16">
        <f t="shared" si="9"/>
        <v>5.4052213319168425</v>
      </c>
    </row>
    <row r="50" spans="1:7" x14ac:dyDescent="0.3">
      <c r="A50" s="13">
        <v>44166</v>
      </c>
      <c r="B50" s="16">
        <v>5.86</v>
      </c>
      <c r="C50" s="16">
        <f t="shared" si="5"/>
        <v>5.5686277777777775</v>
      </c>
      <c r="D50" s="16">
        <f t="shared" si="6"/>
        <v>8.5167248366013073</v>
      </c>
      <c r="E50" s="16">
        <f t="shared" si="7"/>
        <v>7.438126610152838</v>
      </c>
      <c r="F50" s="16">
        <f t="shared" si="8"/>
        <v>6.6582423513953115</v>
      </c>
      <c r="G50" s="16">
        <f t="shared" si="9"/>
        <v>6.5443382241803105</v>
      </c>
    </row>
    <row r="51" spans="1:7" x14ac:dyDescent="0.3">
      <c r="A51" s="13">
        <v>44197</v>
      </c>
      <c r="B51" s="16">
        <v>7.27</v>
      </c>
      <c r="C51" s="16">
        <f t="shared" si="5"/>
        <v>6.9085194444444431</v>
      </c>
      <c r="D51" s="16">
        <f t="shared" si="6"/>
        <v>10.565970915032679</v>
      </c>
      <c r="E51" s="16">
        <f t="shared" si="7"/>
        <v>9.2278464941657194</v>
      </c>
      <c r="F51" s="16">
        <f t="shared" si="8"/>
        <v>8.2603109035228499</v>
      </c>
      <c r="G51" s="16">
        <f t="shared" si="9"/>
        <v>8.1189998105445138</v>
      </c>
    </row>
    <row r="52" spans="1:7" x14ac:dyDescent="0.3">
      <c r="A52" s="13">
        <v>44228</v>
      </c>
      <c r="B52" s="16">
        <v>6.16</v>
      </c>
      <c r="C52" s="16">
        <f t="shared" si="5"/>
        <v>5.8537111111111111</v>
      </c>
      <c r="D52" s="16">
        <f t="shared" si="6"/>
        <v>8.9527346405228769</v>
      </c>
      <c r="E52" s="16">
        <f t="shared" si="7"/>
        <v>7.8189180748364304</v>
      </c>
      <c r="F52" s="16">
        <f t="shared" si="8"/>
        <v>6.9991080007841502</v>
      </c>
      <c r="G52" s="16">
        <f t="shared" si="9"/>
        <v>6.8793726042578012</v>
      </c>
    </row>
    <row r="53" spans="1:7" x14ac:dyDescent="0.3">
      <c r="A53" s="13">
        <v>44256</v>
      </c>
      <c r="B53" s="16">
        <v>6.13</v>
      </c>
      <c r="C53" s="16">
        <f t="shared" si="5"/>
        <v>5.8252027777777773</v>
      </c>
      <c r="D53" s="16">
        <f t="shared" si="6"/>
        <v>8.9091336601307187</v>
      </c>
      <c r="E53" s="16">
        <f t="shared" si="7"/>
        <v>7.7808389283680706</v>
      </c>
      <c r="F53" s="16">
        <f t="shared" si="8"/>
        <v>6.9650214358452658</v>
      </c>
      <c r="G53" s="16">
        <f t="shared" si="9"/>
        <v>6.8458691662500515</v>
      </c>
    </row>
    <row r="54" spans="1:7" x14ac:dyDescent="0.3">
      <c r="A54" s="13">
        <v>44287</v>
      </c>
      <c r="B54" s="16">
        <v>7.15</v>
      </c>
      <c r="C54" s="16">
        <f t="shared" si="5"/>
        <v>6.7944861111111106</v>
      </c>
      <c r="D54" s="16">
        <f t="shared" si="6"/>
        <v>10.391566993464052</v>
      </c>
      <c r="E54" s="16">
        <f t="shared" si="7"/>
        <v>9.0755299082922836</v>
      </c>
      <c r="F54" s="16">
        <f t="shared" si="8"/>
        <v>8.1239646437673159</v>
      </c>
      <c r="G54" s="16">
        <f t="shared" si="9"/>
        <v>7.9849860585135168</v>
      </c>
    </row>
    <row r="55" spans="1:7" x14ac:dyDescent="0.3">
      <c r="A55" s="13">
        <v>44317</v>
      </c>
      <c r="B55" s="16">
        <v>8.91</v>
      </c>
      <c r="C55" s="16">
        <f t="shared" si="5"/>
        <v>8.4669749999999997</v>
      </c>
      <c r="D55" s="16">
        <f t="shared" si="6"/>
        <v>12.949491176470588</v>
      </c>
      <c r="E55" s="16">
        <f t="shared" si="7"/>
        <v>11.309506501102693</v>
      </c>
      <c r="F55" s="16">
        <f t="shared" si="8"/>
        <v>10.123709786848501</v>
      </c>
      <c r="G55" s="16">
        <f t="shared" si="9"/>
        <v>9.9505210883014605</v>
      </c>
    </row>
    <row r="56" spans="1:7" x14ac:dyDescent="0.3">
      <c r="A56" s="13">
        <v>44348</v>
      </c>
      <c r="B56" s="16">
        <v>10.3</v>
      </c>
      <c r="C56" s="16">
        <f t="shared" si="5"/>
        <v>9.7878611111111109</v>
      </c>
      <c r="D56" s="16">
        <f t="shared" si="6"/>
        <v>14.969669934640525</v>
      </c>
      <c r="E56" s="16">
        <f t="shared" si="7"/>
        <v>13.073840287470006</v>
      </c>
      <c r="F56" s="16">
        <f t="shared" si="8"/>
        <v>11.703053962350122</v>
      </c>
      <c r="G56" s="16">
        <f t="shared" si="9"/>
        <v>11.502847049327167</v>
      </c>
    </row>
    <row r="57" spans="1:7" x14ac:dyDescent="0.3">
      <c r="A57" s="13">
        <v>44378</v>
      </c>
      <c r="B57" s="16">
        <v>12.51</v>
      </c>
      <c r="C57" s="16">
        <f t="shared" si="5"/>
        <v>11.887974999999999</v>
      </c>
      <c r="D57" s="16">
        <f t="shared" si="6"/>
        <v>18.181608823529412</v>
      </c>
      <c r="E57" s="16">
        <f t="shared" si="7"/>
        <v>15.879004077305803</v>
      </c>
      <c r="F57" s="16">
        <f t="shared" si="8"/>
        <v>14.214097579514565</v>
      </c>
      <c r="G57" s="16">
        <f t="shared" si="9"/>
        <v>13.970933649231347</v>
      </c>
    </row>
    <row r="58" spans="1:7" x14ac:dyDescent="0.3">
      <c r="A58" s="13">
        <v>44409</v>
      </c>
      <c r="B58" s="16">
        <v>15.43</v>
      </c>
      <c r="C58" s="16">
        <f t="shared" si="5"/>
        <v>14.66278611111111</v>
      </c>
      <c r="D58" s="16">
        <f t="shared" si="6"/>
        <v>22.425437581699345</v>
      </c>
      <c r="E58" s="16">
        <f t="shared" si="7"/>
        <v>19.585374333559432</v>
      </c>
      <c r="F58" s="16">
        <f t="shared" si="8"/>
        <v>17.531856566899258</v>
      </c>
      <c r="G58" s="16">
        <f t="shared" si="9"/>
        <v>17.231934948652249</v>
      </c>
    </row>
    <row r="59" spans="1:7" x14ac:dyDescent="0.3">
      <c r="A59" s="13">
        <v>44440</v>
      </c>
      <c r="B59" s="16">
        <v>22.84</v>
      </c>
      <c r="C59" s="16">
        <f t="shared" si="5"/>
        <v>21.704344444444441</v>
      </c>
      <c r="D59" s="16">
        <f t="shared" si="6"/>
        <v>33.194879738562086</v>
      </c>
      <c r="E59" s="16">
        <f t="shared" si="7"/>
        <v>28.990923511244162</v>
      </c>
      <c r="F59" s="16">
        <f t="shared" si="8"/>
        <v>25.951238106803565</v>
      </c>
      <c r="G59" s="16">
        <f t="shared" si="9"/>
        <v>25.507284136566259</v>
      </c>
    </row>
    <row r="60" spans="1:7" x14ac:dyDescent="0.3">
      <c r="A60" s="13">
        <v>44470</v>
      </c>
      <c r="B60" s="16">
        <v>31.05</v>
      </c>
      <c r="C60" s="16">
        <f t="shared" si="5"/>
        <v>29.506124999999997</v>
      </c>
      <c r="D60" s="16">
        <f t="shared" si="6"/>
        <v>45.127014705882353</v>
      </c>
      <c r="E60" s="16">
        <f t="shared" si="7"/>
        <v>39.411916594751801</v>
      </c>
      <c r="F60" s="16">
        <f t="shared" si="8"/>
        <v>35.279594711744778</v>
      </c>
      <c r="G60" s="16">
        <f t="shared" si="9"/>
        <v>34.676058338020241</v>
      </c>
    </row>
    <row r="61" spans="1:7" x14ac:dyDescent="0.3">
      <c r="A61" s="13">
        <v>44501</v>
      </c>
      <c r="B61" s="16">
        <v>27.62</v>
      </c>
      <c r="C61" s="16">
        <f t="shared" si="5"/>
        <v>26.24667222222222</v>
      </c>
      <c r="D61" s="16">
        <f t="shared" si="6"/>
        <v>40.141969281045753</v>
      </c>
      <c r="E61" s="16">
        <f t="shared" si="7"/>
        <v>35.058200848536067</v>
      </c>
      <c r="F61" s="16">
        <f t="shared" si="8"/>
        <v>31.38236412039906</v>
      </c>
      <c r="G61" s="16">
        <f t="shared" si="9"/>
        <v>30.845498592467607</v>
      </c>
    </row>
    <row r="62" spans="1:7" x14ac:dyDescent="0.3">
      <c r="A62" s="13">
        <v>44531</v>
      </c>
      <c r="B62" s="16">
        <v>38.03</v>
      </c>
      <c r="C62" s="16">
        <f t="shared" si="5"/>
        <v>36.139063888888884</v>
      </c>
      <c r="D62" s="16">
        <f t="shared" si="6"/>
        <v>55.271509477124177</v>
      </c>
      <c r="E62" s="16">
        <f t="shared" si="7"/>
        <v>48.271664673056719</v>
      </c>
      <c r="F62" s="16">
        <f t="shared" si="8"/>
        <v>43.210402154191748</v>
      </c>
      <c r="G62" s="16">
        <f t="shared" si="9"/>
        <v>42.471191581156511</v>
      </c>
    </row>
    <row r="63" spans="1:7" x14ac:dyDescent="0.3">
      <c r="A63" s="13">
        <v>44562</v>
      </c>
      <c r="B63" s="16">
        <v>28.26</v>
      </c>
      <c r="C63" s="16">
        <f t="shared" si="5"/>
        <v>26.854849999999999</v>
      </c>
      <c r="D63" s="16">
        <f t="shared" si="6"/>
        <v>41.072123529411762</v>
      </c>
      <c r="E63" s="16">
        <f t="shared" si="7"/>
        <v>35.870555973194399</v>
      </c>
      <c r="F63" s="16">
        <f t="shared" si="8"/>
        <v>32.109544172428578</v>
      </c>
      <c r="G63" s="16">
        <f t="shared" si="9"/>
        <v>31.560238603299585</v>
      </c>
    </row>
    <row r="64" spans="1:7" x14ac:dyDescent="0.3">
      <c r="A64" s="13">
        <v>44593</v>
      </c>
      <c r="B64" s="16">
        <v>27.23</v>
      </c>
      <c r="C64" s="16">
        <f t="shared" si="5"/>
        <v>25.876063888888886</v>
      </c>
      <c r="D64" s="16">
        <f t="shared" si="6"/>
        <v>39.575156535947713</v>
      </c>
      <c r="E64" s="16">
        <f t="shared" si="7"/>
        <v>34.563171944447397</v>
      </c>
      <c r="F64" s="16">
        <f t="shared" si="8"/>
        <v>30.939238776193566</v>
      </c>
      <c r="G64" s="16">
        <f t="shared" si="9"/>
        <v>30.409953898366865</v>
      </c>
    </row>
    <row r="65" spans="1:7" x14ac:dyDescent="0.3">
      <c r="A65" s="13">
        <v>44621</v>
      </c>
      <c r="B65" s="16">
        <v>42.39</v>
      </c>
      <c r="C65" s="16">
        <f t="shared" si="5"/>
        <v>40.282274999999998</v>
      </c>
      <c r="D65" s="16">
        <f t="shared" si="6"/>
        <v>61.608185294117646</v>
      </c>
      <c r="E65" s="16">
        <f t="shared" si="7"/>
        <v>53.805833959791599</v>
      </c>
      <c r="F65" s="16">
        <f t="shared" si="8"/>
        <v>48.16431625864287</v>
      </c>
      <c r="G65" s="16">
        <f t="shared" si="9"/>
        <v>47.340357904949371</v>
      </c>
    </row>
    <row r="66" spans="1:7" x14ac:dyDescent="0.3">
      <c r="A66" s="13">
        <v>44652</v>
      </c>
      <c r="B66" s="16">
        <v>32.200000000000003</v>
      </c>
      <c r="C66" s="16">
        <f t="shared" si="5"/>
        <v>30.598944444444442</v>
      </c>
      <c r="D66" s="16">
        <f t="shared" si="6"/>
        <v>46.798385620915035</v>
      </c>
      <c r="E66" s="16">
        <f t="shared" si="7"/>
        <v>40.871617209372246</v>
      </c>
      <c r="F66" s="16">
        <f t="shared" si="8"/>
        <v>36.586246367735328</v>
      </c>
      <c r="G66" s="16">
        <f t="shared" si="9"/>
        <v>35.960356794983959</v>
      </c>
    </row>
    <row r="67" spans="1:7" x14ac:dyDescent="0.3">
      <c r="A67" s="13">
        <v>44682</v>
      </c>
      <c r="B67" s="16">
        <v>29.17</v>
      </c>
      <c r="C67" s="16">
        <f t="shared" si="5"/>
        <v>27.719602777777776</v>
      </c>
      <c r="D67" s="16">
        <f t="shared" si="6"/>
        <v>42.394686601307193</v>
      </c>
      <c r="E67" s="16">
        <f t="shared" si="7"/>
        <v>37.025623416067965</v>
      </c>
      <c r="F67" s="16">
        <f t="shared" si="8"/>
        <v>33.143503308908059</v>
      </c>
      <c r="G67" s="16">
        <f t="shared" si="9"/>
        <v>32.576509556201309</v>
      </c>
    </row>
    <row r="68" spans="1:7" x14ac:dyDescent="0.3">
      <c r="A68" s="13">
        <v>44713</v>
      </c>
      <c r="B68" s="16">
        <v>33.56</v>
      </c>
      <c r="C68" s="16">
        <f t="shared" si="5"/>
        <v>31.891322222222222</v>
      </c>
      <c r="D68" s="16">
        <f t="shared" si="6"/>
        <v>48.774963398692812</v>
      </c>
      <c r="E68" s="16">
        <f t="shared" si="7"/>
        <v>42.597871849271193</v>
      </c>
      <c r="F68" s="16">
        <f t="shared" si="8"/>
        <v>38.131503978298063</v>
      </c>
      <c r="G68" s="16">
        <f t="shared" si="9"/>
        <v>37.479179318001911</v>
      </c>
    </row>
    <row r="69" spans="1:7" x14ac:dyDescent="0.3">
      <c r="A69" s="13">
        <v>44743</v>
      </c>
      <c r="B69" s="16">
        <v>51.33</v>
      </c>
      <c r="C69" s="16">
        <f t="shared" si="5"/>
        <v>48.777758333333324</v>
      </c>
      <c r="D69" s="16">
        <f t="shared" si="6"/>
        <v>74.601277450980376</v>
      </c>
      <c r="E69" s="16">
        <f t="shared" si="7"/>
        <v>65.153419607362636</v>
      </c>
      <c r="F69" s="16">
        <f t="shared" si="8"/>
        <v>58.322112610430246</v>
      </c>
      <c r="G69" s="16">
        <f t="shared" si="9"/>
        <v>57.324382431258577</v>
      </c>
    </row>
    <row r="70" spans="1:7" x14ac:dyDescent="0.3">
      <c r="A70" s="13">
        <v>44774</v>
      </c>
      <c r="B70" s="16">
        <v>70.040000000000006</v>
      </c>
      <c r="C70" s="16">
        <f t="shared" si="5"/>
        <v>66.557455555555549</v>
      </c>
      <c r="D70" s="16">
        <f t="shared" si="6"/>
        <v>101.79375555555555</v>
      </c>
      <c r="E70" s="16">
        <f t="shared" si="7"/>
        <v>88.902113954796022</v>
      </c>
      <c r="F70" s="16">
        <f t="shared" si="8"/>
        <v>79.580766943980819</v>
      </c>
      <c r="G70" s="16">
        <f t="shared" si="9"/>
        <v>78.219359935424734</v>
      </c>
    </row>
    <row r="71" spans="1:7" x14ac:dyDescent="0.3">
      <c r="A71" s="13">
        <v>44805</v>
      </c>
      <c r="B71" s="16">
        <v>59.1</v>
      </c>
      <c r="C71" s="16">
        <f t="shared" si="5"/>
        <v>56.161416666666661</v>
      </c>
      <c r="D71" s="16">
        <f t="shared" si="6"/>
        <v>85.893931372549019</v>
      </c>
      <c r="E71" s="16">
        <f t="shared" si="7"/>
        <v>75.015918542667691</v>
      </c>
      <c r="F71" s="16">
        <f t="shared" si="8"/>
        <v>67.150532929601169</v>
      </c>
      <c r="G71" s="16">
        <f t="shared" si="9"/>
        <v>66.001772875265573</v>
      </c>
    </row>
    <row r="72" spans="1:7" x14ac:dyDescent="0.3">
      <c r="A72" s="13">
        <v>44835</v>
      </c>
      <c r="B72" s="16">
        <v>39.020000000000003</v>
      </c>
      <c r="C72" s="16">
        <f t="shared" si="5"/>
        <v>37.079838888888894</v>
      </c>
      <c r="D72" s="16">
        <f t="shared" si="6"/>
        <v>56.710341830065374</v>
      </c>
      <c r="E72" s="16">
        <f t="shared" si="7"/>
        <v>49.52827650651259</v>
      </c>
      <c r="F72" s="16">
        <f t="shared" si="8"/>
        <v>44.33525879717493</v>
      </c>
      <c r="G72" s="16">
        <f t="shared" si="9"/>
        <v>43.576805035412242</v>
      </c>
    </row>
    <row r="73" spans="1:7" x14ac:dyDescent="0.3">
      <c r="A73" s="13">
        <v>44866</v>
      </c>
      <c r="B73" s="16">
        <v>35.72</v>
      </c>
      <c r="C73" s="16">
        <f t="shared" si="5"/>
        <v>33.94392222222222</v>
      </c>
      <c r="D73" s="16">
        <f t="shared" si="6"/>
        <v>51.914233986928103</v>
      </c>
      <c r="E73" s="16">
        <f t="shared" si="7"/>
        <v>45.339570394993061</v>
      </c>
      <c r="F73" s="16">
        <f t="shared" si="8"/>
        <v>40.585736653897698</v>
      </c>
      <c r="G73" s="16">
        <f t="shared" si="9"/>
        <v>39.891426854559839</v>
      </c>
    </row>
    <row r="74" spans="1:7" x14ac:dyDescent="0.3">
      <c r="A74" s="13">
        <v>44896</v>
      </c>
      <c r="B74" s="16">
        <v>36.04</v>
      </c>
      <c r="C74" s="16">
        <f t="shared" si="5"/>
        <v>34.248011111111104</v>
      </c>
      <c r="D74" s="16">
        <f t="shared" si="6"/>
        <v>52.3793111111111</v>
      </c>
      <c r="E74" s="16">
        <f t="shared" si="7"/>
        <v>45.745747957322223</v>
      </c>
      <c r="F74" s="16">
        <f t="shared" si="8"/>
        <v>40.949326679912453</v>
      </c>
      <c r="G74" s="16">
        <f t="shared" si="9"/>
        <v>40.248796859975826</v>
      </c>
    </row>
    <row r="75" spans="1:7" x14ac:dyDescent="0.3">
      <c r="A75" s="13">
        <v>44927</v>
      </c>
      <c r="B75" s="16">
        <v>20.18</v>
      </c>
      <c r="C75" s="16">
        <f t="shared" si="5"/>
        <v>19.17660555555555</v>
      </c>
      <c r="D75" s="16">
        <f t="shared" si="6"/>
        <v>29.328926143790845</v>
      </c>
      <c r="E75" s="16">
        <f t="shared" si="7"/>
        <v>25.614572524382975</v>
      </c>
      <c r="F75" s="16">
        <f t="shared" si="8"/>
        <v>22.928896015555864</v>
      </c>
      <c r="G75" s="16">
        <f t="shared" si="9"/>
        <v>22.536645966545844</v>
      </c>
    </row>
    <row r="76" spans="1:7" x14ac:dyDescent="0.3">
      <c r="A76" s="13">
        <v>44958</v>
      </c>
      <c r="B76" s="16">
        <v>16.54</v>
      </c>
      <c r="C76" s="16">
        <f t="shared" si="5"/>
        <v>15.717594444444442</v>
      </c>
      <c r="D76" s="16">
        <f t="shared" si="6"/>
        <v>24.038673856209147</v>
      </c>
      <c r="E76" s="16">
        <f t="shared" si="7"/>
        <v>20.994302752888725</v>
      </c>
      <c r="F76" s="16">
        <f t="shared" si="8"/>
        <v>18.79305946963796</v>
      </c>
      <c r="G76" s="16">
        <f t="shared" si="9"/>
        <v>18.471562154938965</v>
      </c>
    </row>
    <row r="77" spans="1:7" x14ac:dyDescent="0.3">
      <c r="A77" s="13">
        <v>44986</v>
      </c>
      <c r="B77" s="16">
        <v>13.81</v>
      </c>
      <c r="C77" s="16">
        <f t="shared" si="5"/>
        <v>13.12333611111111</v>
      </c>
      <c r="D77" s="16">
        <f t="shared" si="6"/>
        <v>20.070984640522877</v>
      </c>
      <c r="E77" s="16">
        <f t="shared" si="7"/>
        <v>17.529100424268034</v>
      </c>
      <c r="F77" s="16">
        <f t="shared" si="8"/>
        <v>15.69118206019953</v>
      </c>
      <c r="G77" s="16">
        <f t="shared" si="9"/>
        <v>15.422749296233803</v>
      </c>
    </row>
    <row r="78" spans="1:7" x14ac:dyDescent="0.3">
      <c r="A78" s="13">
        <v>45017</v>
      </c>
      <c r="B78" s="16">
        <v>13.52</v>
      </c>
      <c r="C78" s="16">
        <f t="shared" si="5"/>
        <v>12.847755555555555</v>
      </c>
      <c r="D78" s="16">
        <f t="shared" si="6"/>
        <v>19.649508496732025</v>
      </c>
      <c r="E78" s="16">
        <f t="shared" si="7"/>
        <v>17.161002008407227</v>
      </c>
      <c r="F78" s="16">
        <f t="shared" si="8"/>
        <v>15.361678599123652</v>
      </c>
      <c r="G78" s="16">
        <f t="shared" si="9"/>
        <v>15.098882728825561</v>
      </c>
    </row>
    <row r="79" spans="1:7" x14ac:dyDescent="0.3">
      <c r="A79" s="13">
        <v>45047</v>
      </c>
      <c r="B79" s="16">
        <v>10.11</v>
      </c>
      <c r="C79" s="16">
        <f t="shared" si="5"/>
        <v>9.6073083333333322</v>
      </c>
      <c r="D79" s="16">
        <f t="shared" si="6"/>
        <v>14.693530392156863</v>
      </c>
      <c r="E79" s="16">
        <f t="shared" ref="E79:E98" si="10">D79*($G$9-$E$9)/($G$8-$E$8)</f>
        <v>12.832672359837062</v>
      </c>
      <c r="F79" s="16">
        <f t="shared" ref="F79:F98" si="11">E79*($G$8-$E$8)/($G$7-$E$7)</f>
        <v>11.487172384403856</v>
      </c>
      <c r="G79" s="16">
        <f t="shared" ref="G79:G98" si="12">F79*($G$7-$E$7)/($G$6-$E$6)</f>
        <v>11.290658608611423</v>
      </c>
    </row>
    <row r="80" spans="1:7" x14ac:dyDescent="0.3">
      <c r="A80" s="13">
        <v>45078</v>
      </c>
      <c r="B80" s="16">
        <v>10.35</v>
      </c>
      <c r="C80" s="16">
        <f t="shared" ref="C80:C98" si="13">B80*3.421/3.6</f>
        <v>9.8353749999999973</v>
      </c>
      <c r="D80" s="16">
        <f t="shared" ref="D80:D98" si="14">C80*(1+0.3)/0.85</f>
        <v>15.042338235294116</v>
      </c>
      <c r="E80" s="16">
        <f t="shared" si="10"/>
        <v>13.137305531583936</v>
      </c>
      <c r="F80" s="16">
        <f t="shared" si="11"/>
        <v>11.759864903914925</v>
      </c>
      <c r="G80" s="16">
        <f t="shared" si="12"/>
        <v>11.558686112673414</v>
      </c>
    </row>
    <row r="81" spans="1:7" x14ac:dyDescent="0.3">
      <c r="A81" s="13">
        <v>45108</v>
      </c>
      <c r="B81" s="16">
        <v>9.5500000000000007</v>
      </c>
      <c r="C81" s="16">
        <f t="shared" si="13"/>
        <v>9.0751527777777774</v>
      </c>
      <c r="D81" s="16">
        <f t="shared" si="14"/>
        <v>13.879645424836601</v>
      </c>
      <c r="E81" s="16">
        <f t="shared" si="10"/>
        <v>12.121861625761023</v>
      </c>
      <c r="F81" s="16">
        <f t="shared" si="11"/>
        <v>10.850889838878023</v>
      </c>
      <c r="G81" s="16">
        <f t="shared" si="12"/>
        <v>10.66526109913344</v>
      </c>
    </row>
    <row r="82" spans="1:7" x14ac:dyDescent="0.3">
      <c r="A82" s="13">
        <v>45139</v>
      </c>
      <c r="B82" s="16">
        <v>11.19</v>
      </c>
      <c r="C82" s="16">
        <f t="shared" si="13"/>
        <v>10.633608333333331</v>
      </c>
      <c r="D82" s="16">
        <f t="shared" si="14"/>
        <v>16.263165686274508</v>
      </c>
      <c r="E82" s="16">
        <f t="shared" si="10"/>
        <v>14.203521632697994</v>
      </c>
      <c r="F82" s="16">
        <f t="shared" si="11"/>
        <v>12.714288722203673</v>
      </c>
      <c r="G82" s="16">
        <f t="shared" si="12"/>
        <v>12.496782376890387</v>
      </c>
    </row>
    <row r="83" spans="1:7" x14ac:dyDescent="0.3">
      <c r="A83" s="13">
        <v>45170</v>
      </c>
      <c r="B83" s="16">
        <v>11.55</v>
      </c>
      <c r="C83" s="16">
        <f t="shared" si="13"/>
        <v>10.975708333333332</v>
      </c>
      <c r="D83" s="16">
        <f t="shared" si="14"/>
        <v>16.786377450980392</v>
      </c>
      <c r="E83" s="16">
        <f t="shared" si="10"/>
        <v>14.660471390318305</v>
      </c>
      <c r="F83" s="16">
        <f t="shared" si="11"/>
        <v>13.12332750147028</v>
      </c>
      <c r="G83" s="16">
        <f t="shared" si="12"/>
        <v>12.898823632983376</v>
      </c>
    </row>
    <row r="84" spans="1:7" x14ac:dyDescent="0.3">
      <c r="A84" s="13">
        <v>45200</v>
      </c>
      <c r="B84" s="16">
        <v>14.57</v>
      </c>
      <c r="C84" s="16">
        <f t="shared" si="13"/>
        <v>13.845547222222221</v>
      </c>
      <c r="D84" s="16">
        <f t="shared" si="14"/>
        <v>21.175542810457515</v>
      </c>
      <c r="E84" s="16">
        <f t="shared" si="10"/>
        <v>18.493772134799798</v>
      </c>
      <c r="F84" s="16">
        <f t="shared" si="11"/>
        <v>16.554708371984585</v>
      </c>
      <c r="G84" s="16">
        <f t="shared" si="12"/>
        <v>16.271503059096776</v>
      </c>
    </row>
    <row r="85" spans="1:7" x14ac:dyDescent="0.3">
      <c r="A85" s="13">
        <v>45231</v>
      </c>
      <c r="B85" s="16">
        <v>14.49</v>
      </c>
      <c r="C85" s="16">
        <f t="shared" si="13"/>
        <v>13.769525</v>
      </c>
      <c r="D85" s="16">
        <f t="shared" si="14"/>
        <v>21.059273529411765</v>
      </c>
      <c r="E85" s="16">
        <f t="shared" si="10"/>
        <v>18.392227744217511</v>
      </c>
      <c r="F85" s="16">
        <f t="shared" si="11"/>
        <v>16.463810865480898</v>
      </c>
      <c r="G85" s="16">
        <f t="shared" si="12"/>
        <v>16.18216055774278</v>
      </c>
    </row>
    <row r="86" spans="1:7" x14ac:dyDescent="0.3">
      <c r="A86" s="13">
        <v>45261</v>
      </c>
      <c r="B86" s="16">
        <v>11.51</v>
      </c>
      <c r="C86" s="16">
        <f t="shared" si="13"/>
        <v>10.937697222222221</v>
      </c>
      <c r="D86" s="16">
        <f t="shared" si="14"/>
        <v>16.728242810457516</v>
      </c>
      <c r="E86" s="16">
        <f t="shared" si="10"/>
        <v>14.60969919502716</v>
      </c>
      <c r="F86" s="16">
        <f t="shared" si="11"/>
        <v>13.077878748218437</v>
      </c>
      <c r="G86" s="16">
        <f t="shared" si="12"/>
        <v>12.854152382306379</v>
      </c>
    </row>
    <row r="87" spans="1:7" x14ac:dyDescent="0.3">
      <c r="A87" s="13">
        <v>45292</v>
      </c>
      <c r="B87" s="16">
        <v>9.56</v>
      </c>
      <c r="C87" s="16">
        <f t="shared" si="13"/>
        <v>9.084655555555555</v>
      </c>
      <c r="D87" s="16">
        <f t="shared" si="14"/>
        <v>13.89417908496732</v>
      </c>
      <c r="E87" s="16">
        <f t="shared" si="10"/>
        <v>12.134554674583811</v>
      </c>
      <c r="F87" s="16">
        <f t="shared" si="11"/>
        <v>10.862252027190985</v>
      </c>
      <c r="G87" s="16">
        <f t="shared" si="12"/>
        <v>10.67642891180269</v>
      </c>
    </row>
    <row r="88" spans="1:7" x14ac:dyDescent="0.3">
      <c r="A88" s="13">
        <v>45323</v>
      </c>
      <c r="B88" s="16">
        <v>8.15</v>
      </c>
      <c r="C88" s="16">
        <f t="shared" si="13"/>
        <v>7.7447638888888886</v>
      </c>
      <c r="D88" s="16">
        <f t="shared" si="14"/>
        <v>11.844933006535948</v>
      </c>
      <c r="E88" s="16">
        <f t="shared" si="10"/>
        <v>10.344834790570927</v>
      </c>
      <c r="F88" s="16">
        <f t="shared" si="11"/>
        <v>9.260183475063446</v>
      </c>
      <c r="G88" s="16">
        <f t="shared" si="12"/>
        <v>9.1017673254384874</v>
      </c>
    </row>
    <row r="89" spans="1:7" x14ac:dyDescent="0.3">
      <c r="A89" s="13">
        <v>45352</v>
      </c>
      <c r="B89" s="16">
        <v>8.5500000000000007</v>
      </c>
      <c r="C89" s="16">
        <f t="shared" si="13"/>
        <v>8.1248749999999994</v>
      </c>
      <c r="D89" s="16">
        <f t="shared" si="14"/>
        <v>12.426279411764707</v>
      </c>
      <c r="E89" s="16">
        <f t="shared" si="10"/>
        <v>10.852556743482383</v>
      </c>
      <c r="F89" s="16">
        <f t="shared" si="11"/>
        <v>9.7146710075818969</v>
      </c>
      <c r="G89" s="16">
        <f t="shared" si="12"/>
        <v>9.5484798322084732</v>
      </c>
    </row>
    <row r="90" spans="1:7" x14ac:dyDescent="0.3">
      <c r="A90" s="13">
        <v>45383</v>
      </c>
      <c r="B90" s="16">
        <v>9.09</v>
      </c>
      <c r="C90" s="16">
        <f t="shared" si="13"/>
        <v>8.638024999999999</v>
      </c>
      <c r="D90" s="16">
        <f t="shared" si="14"/>
        <v>13.21109705882353</v>
      </c>
      <c r="E90" s="16">
        <f t="shared" si="10"/>
        <v>11.537981379912848</v>
      </c>
      <c r="F90" s="16">
        <f t="shared" si="11"/>
        <v>10.328229176481805</v>
      </c>
      <c r="G90" s="16">
        <f t="shared" si="12"/>
        <v>10.151541716347955</v>
      </c>
    </row>
    <row r="91" spans="1:7" x14ac:dyDescent="0.3">
      <c r="A91" s="13">
        <v>45413</v>
      </c>
      <c r="B91" s="16">
        <v>10.119999999999999</v>
      </c>
      <c r="C91" s="16">
        <f t="shared" si="13"/>
        <v>9.6168111111111081</v>
      </c>
      <c r="D91" s="16">
        <f t="shared" si="14"/>
        <v>14.708064052287577</v>
      </c>
      <c r="E91" s="16">
        <f t="shared" si="10"/>
        <v>12.845365408659845</v>
      </c>
      <c r="F91" s="16">
        <f t="shared" si="11"/>
        <v>11.498534572716814</v>
      </c>
      <c r="G91" s="16">
        <f t="shared" si="12"/>
        <v>11.301826421280669</v>
      </c>
    </row>
    <row r="92" spans="1:7" x14ac:dyDescent="0.3">
      <c r="A92" s="13">
        <v>45444</v>
      </c>
      <c r="B92" s="16">
        <v>10.87</v>
      </c>
      <c r="C92" s="16">
        <f t="shared" si="13"/>
        <v>10.329519444444442</v>
      </c>
      <c r="D92" s="16">
        <f t="shared" si="14"/>
        <v>15.7980885620915</v>
      </c>
      <c r="E92" s="16">
        <f t="shared" si="10"/>
        <v>13.797344070368826</v>
      </c>
      <c r="F92" s="16">
        <f t="shared" si="11"/>
        <v>12.35069869618891</v>
      </c>
      <c r="G92" s="16">
        <f t="shared" si="12"/>
        <v>12.139412371474394</v>
      </c>
    </row>
    <row r="93" spans="1:7" x14ac:dyDescent="0.3">
      <c r="A93" s="13">
        <v>45474</v>
      </c>
      <c r="B93" s="16">
        <v>10.35</v>
      </c>
      <c r="C93" s="16">
        <f t="shared" si="13"/>
        <v>9.8353749999999973</v>
      </c>
      <c r="D93" s="16">
        <f t="shared" si="14"/>
        <v>15.042338235294116</v>
      </c>
      <c r="E93" s="16">
        <f t="shared" si="10"/>
        <v>13.137305531583936</v>
      </c>
      <c r="F93" s="16">
        <f t="shared" si="11"/>
        <v>11.759864903914925</v>
      </c>
      <c r="G93" s="16">
        <f t="shared" si="12"/>
        <v>11.558686112673414</v>
      </c>
    </row>
    <row r="94" spans="1:7" x14ac:dyDescent="0.3">
      <c r="A94" s="13">
        <v>45505</v>
      </c>
      <c r="B94" s="16">
        <v>12.37</v>
      </c>
      <c r="C94" s="16">
        <f t="shared" si="13"/>
        <v>11.75493611111111</v>
      </c>
      <c r="D94" s="16">
        <f t="shared" si="14"/>
        <v>17.978137581699347</v>
      </c>
      <c r="E94" s="16">
        <f t="shared" si="10"/>
        <v>15.701301393786791</v>
      </c>
      <c r="F94" s="16">
        <f t="shared" si="11"/>
        <v>14.055026943133106</v>
      </c>
      <c r="G94" s="16">
        <f t="shared" si="12"/>
        <v>13.814584271861849</v>
      </c>
    </row>
    <row r="95" spans="1:7" x14ac:dyDescent="0.3">
      <c r="A95" s="13">
        <v>45536</v>
      </c>
      <c r="B95" s="16">
        <v>11.78</v>
      </c>
      <c r="C95" s="16">
        <f t="shared" si="13"/>
        <v>11.194272222222219</v>
      </c>
      <c r="D95" s="16">
        <f t="shared" si="14"/>
        <v>17.120651633986924</v>
      </c>
      <c r="E95" s="16">
        <f t="shared" si="10"/>
        <v>14.95241151324239</v>
      </c>
      <c r="F95" s="16">
        <f t="shared" si="11"/>
        <v>13.384657832668388</v>
      </c>
      <c r="G95" s="16">
        <f t="shared" si="12"/>
        <v>13.155683324376117</v>
      </c>
    </row>
    <row r="96" spans="1:7" x14ac:dyDescent="0.3">
      <c r="A96" s="13">
        <v>45566</v>
      </c>
      <c r="B96" s="16">
        <v>12.92</v>
      </c>
      <c r="C96" s="16">
        <f t="shared" si="13"/>
        <v>12.277588888888889</v>
      </c>
      <c r="D96" s="16">
        <f t="shared" si="14"/>
        <v>18.77748888888889</v>
      </c>
      <c r="E96" s="16">
        <f t="shared" si="10"/>
        <v>16.399419079040044</v>
      </c>
      <c r="F96" s="16">
        <f t="shared" si="11"/>
        <v>14.679947300345976</v>
      </c>
      <c r="G96" s="16">
        <f t="shared" si="12"/>
        <v>14.428813968670582</v>
      </c>
    </row>
    <row r="97" spans="1:8" x14ac:dyDescent="0.3">
      <c r="A97" s="13">
        <v>45597</v>
      </c>
      <c r="B97" s="16">
        <v>13.93</v>
      </c>
      <c r="C97" s="16">
        <f t="shared" si="13"/>
        <v>13.237369444444443</v>
      </c>
      <c r="D97" s="16">
        <f t="shared" si="14"/>
        <v>20.245388562091502</v>
      </c>
      <c r="E97" s="16">
        <f t="shared" si="10"/>
        <v>17.681417010141473</v>
      </c>
      <c r="F97" s="16">
        <f t="shared" si="11"/>
        <v>15.827528319955066</v>
      </c>
      <c r="G97" s="16">
        <f t="shared" si="12"/>
        <v>15.5567630482648</v>
      </c>
    </row>
    <row r="98" spans="1:8" x14ac:dyDescent="0.3">
      <c r="A98" s="13">
        <v>45627</v>
      </c>
      <c r="B98" s="16">
        <v>13.86</v>
      </c>
      <c r="C98" s="16">
        <f t="shared" si="13"/>
        <v>13.170849999999998</v>
      </c>
      <c r="D98" s="16">
        <f t="shared" si="14"/>
        <v>20.14365294117647</v>
      </c>
      <c r="E98" s="16">
        <f t="shared" si="10"/>
        <v>17.592565668381965</v>
      </c>
      <c r="F98" s="16">
        <f t="shared" si="11"/>
        <v>15.747993001764335</v>
      </c>
      <c r="G98" s="16">
        <f t="shared" si="12"/>
        <v>15.47858835958005</v>
      </c>
    </row>
    <row r="102" spans="1:8" x14ac:dyDescent="0.3">
      <c r="B102" s="7"/>
      <c r="C102" s="7"/>
      <c r="D102" s="7"/>
      <c r="E102" s="7"/>
      <c r="F102" s="7"/>
      <c r="G102" s="7"/>
      <c r="H102" s="7"/>
    </row>
    <row r="103" spans="1:8" x14ac:dyDescent="0.3">
      <c r="B103" s="7"/>
      <c r="C103" s="7"/>
      <c r="D103" s="7"/>
      <c r="E103" s="7"/>
      <c r="F103" s="7"/>
      <c r="G103" s="7"/>
    </row>
    <row r="104" spans="1:8" x14ac:dyDescent="0.3">
      <c r="B104" s="7"/>
      <c r="C104" s="7"/>
      <c r="D104" s="7"/>
      <c r="E104" s="7"/>
      <c r="F104" s="7"/>
      <c r="G104" s="7"/>
    </row>
    <row r="105" spans="1:8" x14ac:dyDescent="0.3">
      <c r="B105" s="7"/>
      <c r="C105" s="7"/>
      <c r="D105" s="7"/>
      <c r="E105" s="7"/>
      <c r="F105" s="7"/>
      <c r="G105" s="7"/>
    </row>
    <row r="106" spans="1:8" x14ac:dyDescent="0.3">
      <c r="B106" s="7"/>
      <c r="C106" s="7"/>
      <c r="D106" s="7"/>
      <c r="E106" s="7"/>
      <c r="F106" s="7"/>
      <c r="G106" s="7"/>
    </row>
    <row r="107" spans="1:8" x14ac:dyDescent="0.3">
      <c r="B107" s="7"/>
      <c r="C107" s="7"/>
      <c r="D107" s="7"/>
      <c r="E107" s="7"/>
      <c r="F107" s="7"/>
      <c r="G107" s="7"/>
    </row>
    <row r="108" spans="1:8" x14ac:dyDescent="0.3">
      <c r="B108" s="7"/>
      <c r="C108" s="7"/>
      <c r="D108" s="7"/>
      <c r="E108" s="7"/>
      <c r="F108" s="7"/>
      <c r="G108" s="7"/>
      <c r="H108" s="7"/>
    </row>
    <row r="109" spans="1:8" x14ac:dyDescent="0.3">
      <c r="B109" s="7"/>
      <c r="C109" s="7"/>
      <c r="D109" s="7"/>
      <c r="E109" s="7"/>
      <c r="F109" s="7"/>
      <c r="G109" s="7"/>
      <c r="H109" s="7"/>
    </row>
    <row r="110" spans="1:8" x14ac:dyDescent="0.3">
      <c r="B110" s="7"/>
      <c r="C110" s="7"/>
      <c r="D110" s="7"/>
      <c r="E110" s="7"/>
      <c r="F110" s="7"/>
      <c r="G110" s="7"/>
      <c r="H110" s="7"/>
    </row>
    <row r="111" spans="1:8" x14ac:dyDescent="0.3">
      <c r="B111" s="7"/>
      <c r="C111" s="7"/>
      <c r="D111" s="7"/>
      <c r="E111" s="7"/>
      <c r="F111" s="7"/>
      <c r="G111" s="7"/>
      <c r="H111" s="7"/>
    </row>
    <row r="112" spans="1:8" x14ac:dyDescent="0.3">
      <c r="B112" s="7"/>
      <c r="C112" s="7"/>
      <c r="D112" s="7"/>
      <c r="E112" s="7"/>
      <c r="F112" s="7"/>
      <c r="G112" s="7"/>
      <c r="H112" s="7"/>
    </row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2AB-AF81-43A6-9079-CFC88B47ACCE}">
  <dimension ref="A3:D47"/>
  <sheetViews>
    <sheetView workbookViewId="0">
      <selection activeCell="B54" sqref="B54"/>
    </sheetView>
  </sheetViews>
  <sheetFormatPr defaultRowHeight="14" x14ac:dyDescent="0.3"/>
  <cols>
    <col min="1" max="1" width="35.1796875" style="7" customWidth="1"/>
    <col min="2" max="2" width="143.7265625" style="7" customWidth="1"/>
    <col min="3" max="3" width="108.36328125" style="7" customWidth="1"/>
    <col min="4" max="4" width="89.453125" style="7" customWidth="1"/>
    <col min="5" max="16384" width="8.7265625" style="7"/>
  </cols>
  <sheetData>
    <row r="3" spans="1:4" x14ac:dyDescent="0.3">
      <c r="C3" s="57"/>
    </row>
    <row r="4" spans="1:4" x14ac:dyDescent="0.3">
      <c r="A4" s="8" t="s">
        <v>37</v>
      </c>
      <c r="B4" s="8" t="s">
        <v>138</v>
      </c>
    </row>
    <row r="5" spans="1:4" x14ac:dyDescent="0.3">
      <c r="A5" s="8" t="s">
        <v>15</v>
      </c>
    </row>
    <row r="6" spans="1:4" ht="14.5" x14ac:dyDescent="0.35">
      <c r="A6" s="7" t="s">
        <v>16</v>
      </c>
      <c r="B6" s="9" t="s">
        <v>50</v>
      </c>
      <c r="C6" s="8"/>
      <c r="D6" s="8"/>
    </row>
    <row r="7" spans="1:4" ht="14.5" x14ac:dyDescent="0.35">
      <c r="A7" s="7" t="s">
        <v>17</v>
      </c>
      <c r="B7" s="9" t="s">
        <v>49</v>
      </c>
    </row>
    <row r="8" spans="1:4" x14ac:dyDescent="0.3">
      <c r="A8" s="7" t="s">
        <v>18</v>
      </c>
      <c r="B8" s="7" t="s">
        <v>134</v>
      </c>
    </row>
    <row r="9" spans="1:4" ht="14.5" x14ac:dyDescent="0.3">
      <c r="A9" s="11" t="s">
        <v>19</v>
      </c>
      <c r="B9" s="22" t="s">
        <v>129</v>
      </c>
      <c r="C9" s="10"/>
    </row>
    <row r="10" spans="1:4" ht="14.5" x14ac:dyDescent="0.35">
      <c r="A10" s="7" t="s">
        <v>20</v>
      </c>
      <c r="B10" s="9" t="s">
        <v>51</v>
      </c>
      <c r="C10" s="9"/>
    </row>
    <row r="11" spans="1:4" s="11" customFormat="1" ht="14.5" x14ac:dyDescent="0.35">
      <c r="A11" s="7" t="s">
        <v>21</v>
      </c>
      <c r="B11" s="9" t="s">
        <v>52</v>
      </c>
      <c r="C11" s="12"/>
    </row>
    <row r="12" spans="1:4" ht="14.5" x14ac:dyDescent="0.35">
      <c r="A12" s="7" t="s">
        <v>22</v>
      </c>
      <c r="B12" s="9" t="s">
        <v>47</v>
      </c>
    </row>
    <row r="13" spans="1:4" ht="14.5" x14ac:dyDescent="0.35">
      <c r="A13" s="7" t="s">
        <v>23</v>
      </c>
      <c r="B13" s="9" t="s">
        <v>39</v>
      </c>
      <c r="C13" s="9"/>
    </row>
    <row r="14" spans="1:4" ht="14.5" x14ac:dyDescent="0.35">
      <c r="A14" s="7" t="s">
        <v>24</v>
      </c>
      <c r="B14" s="9" t="s">
        <v>40</v>
      </c>
      <c r="C14" s="9"/>
    </row>
    <row r="15" spans="1:4" ht="14.5" x14ac:dyDescent="0.3">
      <c r="A15" s="11" t="s">
        <v>25</v>
      </c>
      <c r="B15" s="22" t="s">
        <v>130</v>
      </c>
    </row>
    <row r="16" spans="1:4" ht="14.5" x14ac:dyDescent="0.3">
      <c r="A16" s="11" t="s">
        <v>26</v>
      </c>
      <c r="B16" s="22" t="s">
        <v>131</v>
      </c>
    </row>
    <row r="17" spans="1:4" s="11" customFormat="1" ht="14.5" x14ac:dyDescent="0.35">
      <c r="A17" s="7" t="s">
        <v>36</v>
      </c>
      <c r="B17" s="9" t="s">
        <v>41</v>
      </c>
      <c r="C17" s="12"/>
    </row>
    <row r="18" spans="1:4" s="11" customFormat="1" ht="14.5" x14ac:dyDescent="0.35">
      <c r="A18" s="7" t="s">
        <v>27</v>
      </c>
      <c r="B18" s="9" t="s">
        <v>42</v>
      </c>
      <c r="C18" s="12"/>
    </row>
    <row r="19" spans="1:4" ht="14.5" hidden="1" x14ac:dyDescent="0.35">
      <c r="A19" s="7" t="s">
        <v>28</v>
      </c>
      <c r="B19" s="9" t="s">
        <v>43</v>
      </c>
      <c r="D19" s="9"/>
    </row>
    <row r="20" spans="1:4" ht="14.5" hidden="1" x14ac:dyDescent="0.35">
      <c r="A20" s="7" t="s">
        <v>29</v>
      </c>
      <c r="B20" s="9" t="s">
        <v>38</v>
      </c>
    </row>
    <row r="21" spans="1:4" ht="14.5" x14ac:dyDescent="0.35">
      <c r="A21" s="7" t="s">
        <v>30</v>
      </c>
      <c r="B21" s="9" t="s">
        <v>44</v>
      </c>
    </row>
    <row r="22" spans="1:4" ht="14.5" x14ac:dyDescent="0.35">
      <c r="A22" s="7" t="s">
        <v>31</v>
      </c>
      <c r="B22" s="9" t="s">
        <v>45</v>
      </c>
    </row>
    <row r="23" spans="1:4" ht="14.5" x14ac:dyDescent="0.35">
      <c r="A23" s="7" t="s">
        <v>32</v>
      </c>
      <c r="B23" s="9" t="s">
        <v>46</v>
      </c>
    </row>
    <row r="24" spans="1:4" ht="14.5" x14ac:dyDescent="0.3">
      <c r="A24" s="11" t="s">
        <v>33</v>
      </c>
      <c r="B24" s="22" t="s">
        <v>132</v>
      </c>
    </row>
    <row r="25" spans="1:4" ht="14.5" x14ac:dyDescent="0.3">
      <c r="A25" s="11" t="s">
        <v>34</v>
      </c>
      <c r="B25" s="17" t="s">
        <v>53</v>
      </c>
    </row>
    <row r="26" spans="1:4" s="11" customFormat="1" ht="14.5" x14ac:dyDescent="0.35">
      <c r="A26" s="7" t="s">
        <v>56</v>
      </c>
      <c r="B26" s="9" t="s">
        <v>54</v>
      </c>
      <c r="C26" s="12"/>
    </row>
    <row r="27" spans="1:4" s="11" customFormat="1" ht="14.5" x14ac:dyDescent="0.35">
      <c r="A27" s="7" t="s">
        <v>35</v>
      </c>
      <c r="B27" s="9" t="s">
        <v>48</v>
      </c>
      <c r="C27" s="12"/>
    </row>
    <row r="28" spans="1:4" s="11" customFormat="1" ht="14.5" x14ac:dyDescent="0.35">
      <c r="A28" s="7" t="s">
        <v>170</v>
      </c>
      <c r="B28" s="9" t="s">
        <v>169</v>
      </c>
      <c r="C28" s="12"/>
    </row>
    <row r="29" spans="1:4" ht="14.5" x14ac:dyDescent="0.35">
      <c r="A29" s="7" t="s">
        <v>70</v>
      </c>
      <c r="B29" s="9" t="s">
        <v>71</v>
      </c>
      <c r="C29" s="9"/>
    </row>
    <row r="30" spans="1:4" ht="14.5" x14ac:dyDescent="0.35">
      <c r="A30" s="7" t="s">
        <v>82</v>
      </c>
      <c r="B30" s="9" t="s">
        <v>83</v>
      </c>
    </row>
    <row r="31" spans="1:4" x14ac:dyDescent="0.3">
      <c r="A31" s="7" t="s">
        <v>73</v>
      </c>
      <c r="B31" s="7" t="s">
        <v>136</v>
      </c>
    </row>
    <row r="32" spans="1:4" x14ac:dyDescent="0.3">
      <c r="A32" s="7" t="s">
        <v>72</v>
      </c>
      <c r="B32" s="7" t="s">
        <v>135</v>
      </c>
    </row>
    <row r="33" spans="1:3" ht="14.5" x14ac:dyDescent="0.35">
      <c r="A33" s="55" t="s">
        <v>61</v>
      </c>
      <c r="B33" s="24" t="s">
        <v>133</v>
      </c>
      <c r="C33" s="9"/>
    </row>
    <row r="34" spans="1:3" ht="14.5" x14ac:dyDescent="0.35">
      <c r="A34" s="7" t="s">
        <v>74</v>
      </c>
      <c r="B34" s="9" t="s">
        <v>85</v>
      </c>
    </row>
    <row r="35" spans="1:3" ht="14.5" x14ac:dyDescent="0.35">
      <c r="A35" s="7" t="s">
        <v>77</v>
      </c>
      <c r="B35" s="9" t="s">
        <v>137</v>
      </c>
    </row>
    <row r="36" spans="1:3" ht="14.5" hidden="1" x14ac:dyDescent="0.35">
      <c r="B36" s="9"/>
    </row>
    <row r="37" spans="1:3" x14ac:dyDescent="0.3">
      <c r="A37" s="18" t="s">
        <v>174</v>
      </c>
    </row>
    <row r="38" spans="1:3" x14ac:dyDescent="0.3">
      <c r="A38" s="7" t="s">
        <v>167</v>
      </c>
    </row>
    <row r="39" spans="1:3" x14ac:dyDescent="0.3">
      <c r="A39" s="7" t="s">
        <v>196</v>
      </c>
    </row>
    <row r="40" spans="1:3" x14ac:dyDescent="0.3">
      <c r="A40" s="7" t="s">
        <v>195</v>
      </c>
    </row>
    <row r="41" spans="1:3" x14ac:dyDescent="0.3">
      <c r="A41" s="7" t="s">
        <v>180</v>
      </c>
    </row>
    <row r="42" spans="1:3" x14ac:dyDescent="0.3">
      <c r="A42" s="7" t="s">
        <v>171</v>
      </c>
    </row>
    <row r="43" spans="1:3" x14ac:dyDescent="0.3">
      <c r="A43" s="7" t="s">
        <v>172</v>
      </c>
    </row>
    <row r="44" spans="1:3" x14ac:dyDescent="0.3">
      <c r="A44" s="7" t="s">
        <v>173</v>
      </c>
    </row>
    <row r="45" spans="1:3" ht="14.5" x14ac:dyDescent="0.35">
      <c r="A45" s="9" t="s">
        <v>175</v>
      </c>
      <c r="B45" s="9"/>
    </row>
    <row r="46" spans="1:3" ht="14.5" x14ac:dyDescent="0.35">
      <c r="B46" s="9"/>
    </row>
    <row r="47" spans="1:3" ht="14.5" x14ac:dyDescent="0.35">
      <c r="B47" s="9"/>
    </row>
  </sheetData>
  <hyperlinks>
    <hyperlink ref="B12" r:id="rId1" xr:uid="{33316B8D-FB2E-4918-8779-4DCD63886AB4}"/>
    <hyperlink ref="B6" r:id="rId2" xr:uid="{59D02967-6D51-4045-B989-CA532FC99DA4}"/>
    <hyperlink ref="B18" r:id="rId3" xr:uid="{CD52F991-81A2-4B26-B9A2-59B31E5A80EF}"/>
    <hyperlink ref="B7" r:id="rId4" xr:uid="{A0127E2A-F5B4-4D8F-B151-4F0A681BA7F2}"/>
    <hyperlink ref="B10" r:id="rId5" xr:uid="{12AFD0BC-0046-4D80-90EB-9750D67D646F}"/>
    <hyperlink ref="B11" r:id="rId6" xr:uid="{1CFB56FE-69FE-4CDB-AA57-E63FAE01E3D5}"/>
    <hyperlink ref="B13" r:id="rId7" xr:uid="{1F4AB003-7D8B-474C-9398-F6E04844F2CD}"/>
    <hyperlink ref="B14" r:id="rId8" xr:uid="{EF14881F-E95F-4390-B980-1D2D2F718C3D}"/>
    <hyperlink ref="B17" r:id="rId9" xr:uid="{4780B3D2-8550-4A83-82B5-DADF0E86258A}"/>
    <hyperlink ref="B19" r:id="rId10" xr:uid="{3C4F7FF1-D742-49EE-8CB3-868D4CE5BF05}"/>
    <hyperlink ref="B20" r:id="rId11" xr:uid="{9465ED9E-7EF0-44F0-93BF-748B9F42E69C}"/>
    <hyperlink ref="B21" r:id="rId12" xr:uid="{2DB2EE95-5C87-4589-A8A5-67E639511711}"/>
    <hyperlink ref="B22" r:id="rId13" xr:uid="{9510E48E-9160-4484-A317-234D288FF372}"/>
    <hyperlink ref="B23" r:id="rId14" xr:uid="{D004F58A-7FB8-45B1-83B7-B2AFDC380F81}"/>
    <hyperlink ref="B25" r:id="rId15" xr:uid="{2A94C81B-F7CD-4FAE-AB4D-7DB5BAEB3C44}"/>
    <hyperlink ref="B26" r:id="rId16" xr:uid="{5B55AD34-BC64-4416-8EDB-CB5309ECDE46}"/>
    <hyperlink ref="B27" r:id="rId17" xr:uid="{437CC799-FA53-4B96-8160-DFCBBB15F832}"/>
    <hyperlink ref="B24" r:id="rId18" xr:uid="{2D56E6B0-C324-49CB-8C56-9870EDB56C59}"/>
    <hyperlink ref="B33" r:id="rId19" xr:uid="{E17C72A2-F224-47EB-B2A3-C8F519BC164C}"/>
    <hyperlink ref="B29" r:id="rId20" xr:uid="{24275127-CD1B-4B8B-B983-246DECFC039D}"/>
    <hyperlink ref="B30" r:id="rId21" xr:uid="{688689B2-568A-4E2D-B16E-E965F47BBD51}"/>
    <hyperlink ref="B9" r:id="rId22" xr:uid="{AAE53772-C120-4BA4-B123-AB071145F329}"/>
    <hyperlink ref="B15" r:id="rId23" xr:uid="{84A682CD-08A5-4D77-B4D8-05A2082D497F}"/>
    <hyperlink ref="B16" r:id="rId24" xr:uid="{13E960C8-FA41-4A35-8DF0-572BBB4D5F3C}"/>
    <hyperlink ref="B34" r:id="rId25" xr:uid="{F29FA4F5-F655-4A02-87CC-F8574FE8A233}"/>
    <hyperlink ref="B35" r:id="rId26" xr:uid="{D8CF4FAD-3F1D-4EF1-A736-18812C5F4965}"/>
    <hyperlink ref="B28" r:id="rId27" xr:uid="{B7052B49-4FF8-4D8A-A75F-5C98F7E0A447}"/>
    <hyperlink ref="A45" r:id="rId28" xr:uid="{2BBABF79-4494-4005-9E0D-BCA349CBB6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E505-F15E-4AF9-9A4F-3E592535E847}">
  <dimension ref="A1:DZ92"/>
  <sheetViews>
    <sheetView zoomScaleNormal="100" workbookViewId="0">
      <pane xSplit="1" topLeftCell="B1" activePane="topRight" state="frozen"/>
      <selection activeCell="A6" sqref="A6"/>
      <selection pane="topRight" activeCell="B13" sqref="B13"/>
    </sheetView>
  </sheetViews>
  <sheetFormatPr defaultRowHeight="14" x14ac:dyDescent="0.35"/>
  <cols>
    <col min="1" max="1" width="12.26953125" style="16" customWidth="1"/>
    <col min="2" max="2" width="11.54296875" style="47" customWidth="1"/>
    <col min="3" max="3" width="9.453125" style="47" customWidth="1"/>
    <col min="4" max="4" width="9.81640625" style="16" customWidth="1"/>
    <col min="5" max="5" width="10.08984375" style="16" customWidth="1"/>
    <col min="6" max="6" width="8.7265625" style="47"/>
    <col min="7" max="8" width="8.7265625" style="16"/>
    <col min="9" max="9" width="8.7265625" style="47"/>
    <col min="10" max="11" width="8.7265625" style="16"/>
    <col min="12" max="12" width="8.7265625" style="47"/>
    <col min="13" max="14" width="8.7265625" style="16"/>
    <col min="15" max="15" width="8.7265625" style="47"/>
    <col min="16" max="17" width="8.7265625" style="16"/>
    <col min="18" max="18" width="8.7265625" style="47"/>
    <col min="19" max="21" width="8.7265625" style="16"/>
    <col min="22" max="22" width="10.08984375" style="16" bestFit="1" customWidth="1"/>
    <col min="23" max="23" width="8.7265625" style="47"/>
    <col min="24" max="25" width="8.7265625" style="16"/>
    <col min="26" max="26" width="8.7265625" style="47"/>
    <col min="27" max="28" width="8.7265625" style="16"/>
    <col min="29" max="29" width="8.7265625" style="47"/>
    <col min="30" max="31" width="8.7265625" style="16"/>
    <col min="32" max="32" width="8.7265625" style="47"/>
    <col min="33" max="34" width="8.7265625" style="16"/>
    <col min="35" max="35" width="8.7265625" style="47"/>
    <col min="36" max="38" width="8.7265625" style="16"/>
    <col min="39" max="39" width="10.08984375" style="16" bestFit="1" customWidth="1"/>
    <col min="40" max="40" width="8.08984375" style="47" customWidth="1"/>
    <col min="41" max="44" width="8.7265625" style="16"/>
    <col min="45" max="45" width="8.7265625" style="47"/>
    <col min="46" max="49" width="8.7265625" style="16"/>
    <col min="50" max="50" width="8.7265625" style="47"/>
    <col min="51" max="54" width="8.7265625" style="16"/>
    <col min="55" max="55" width="8.7265625" style="47"/>
    <col min="56" max="59" width="8.7265625" style="16"/>
    <col min="60" max="60" width="8.7265625" style="47"/>
    <col min="61" max="64" width="8.7265625" style="16"/>
    <col min="65" max="65" width="8.7265625" style="47"/>
    <col min="66" max="71" width="8.7265625" style="16"/>
    <col min="72" max="72" width="10.08984375" style="16" bestFit="1" customWidth="1"/>
    <col min="73" max="73" width="8.7265625" style="47"/>
    <col min="74" max="76" width="8.7265625" style="16"/>
    <col min="77" max="77" width="8.7265625" style="47"/>
    <col min="78" max="80" width="8.7265625" style="16"/>
    <col min="81" max="81" width="8.7265625" style="47"/>
    <col min="82" max="84" width="8.7265625" style="16"/>
    <col min="85" max="85" width="8.7265625" style="47"/>
    <col min="86" max="88" width="8.7265625" style="16"/>
    <col min="89" max="89" width="8.7265625" style="47"/>
    <col min="90" max="92" width="8.7265625" style="16"/>
    <col min="93" max="93" width="8.7265625" style="47"/>
    <col min="94" max="98" width="8.7265625" style="16"/>
    <col min="99" max="99" width="10.08984375" style="16" bestFit="1" customWidth="1"/>
    <col min="100" max="103" width="8.7265625" style="47"/>
    <col min="104" max="105" width="8.7265625" style="16"/>
    <col min="106" max="106" width="10.08984375" style="16" bestFit="1" customWidth="1"/>
    <col min="107" max="107" width="11.36328125" style="52" customWidth="1"/>
    <col min="108" max="108" width="11.36328125" style="47" customWidth="1"/>
    <col min="109" max="109" width="12.81640625" style="47" customWidth="1"/>
    <col min="110" max="110" width="10.26953125" style="47" customWidth="1"/>
    <col min="111" max="113" width="8.7265625" style="16"/>
    <col min="114" max="114" width="8.7265625" style="47"/>
    <col min="115" max="115" width="8.7265625" style="16"/>
    <col min="116" max="116" width="8.7265625" style="47"/>
    <col min="117" max="117" width="8.7265625" style="16"/>
    <col min="118" max="118" width="10.36328125" style="47" customWidth="1"/>
    <col min="119" max="119" width="11.453125" style="16" customWidth="1"/>
    <col min="120" max="120" width="9.453125" style="47" customWidth="1"/>
    <col min="121" max="121" width="9.81640625" style="16" customWidth="1"/>
    <col min="122" max="122" width="10.54296875" style="47" customWidth="1"/>
    <col min="123" max="123" width="9.54296875" style="16" customWidth="1"/>
    <col min="124" max="125" width="8.7265625" style="16"/>
    <col min="126" max="126" width="10.08984375" style="16" bestFit="1" customWidth="1"/>
    <col min="127" max="127" width="11.1796875" style="47" customWidth="1"/>
    <col min="128" max="128" width="11.6328125" style="47" customWidth="1"/>
    <col min="129" max="129" width="10.6328125" style="47" customWidth="1"/>
    <col min="130" max="130" width="11.7265625" style="47" customWidth="1"/>
    <col min="131" max="16384" width="8.7265625" style="16"/>
  </cols>
  <sheetData>
    <row r="1" spans="1:130" ht="15.5" x14ac:dyDescent="0.35">
      <c r="B1" s="16"/>
      <c r="C1" s="15"/>
      <c r="D1" s="15"/>
      <c r="E1" s="70" t="s">
        <v>153</v>
      </c>
      <c r="F1" s="15"/>
      <c r="H1" s="15"/>
      <c r="I1" s="15"/>
      <c r="J1" s="15"/>
      <c r="K1" s="15"/>
      <c r="L1" s="15"/>
      <c r="O1" s="16"/>
      <c r="R1" s="16"/>
      <c r="Z1" s="16"/>
      <c r="AC1" s="16"/>
      <c r="AF1" s="16"/>
      <c r="AI1" s="16"/>
      <c r="AS1" s="16"/>
      <c r="AX1" s="16"/>
      <c r="BC1" s="16"/>
      <c r="BH1" s="16"/>
      <c r="BM1" s="16"/>
      <c r="BY1" s="16"/>
      <c r="CC1" s="16"/>
      <c r="CG1" s="16"/>
      <c r="CK1" s="16"/>
      <c r="CO1" s="16"/>
      <c r="CW1" s="16"/>
      <c r="CX1" s="16"/>
      <c r="CY1" s="16"/>
      <c r="DC1" s="16"/>
      <c r="DD1" s="16"/>
      <c r="DE1" s="16"/>
      <c r="DF1" s="16"/>
      <c r="DL1" s="16"/>
      <c r="DN1" s="16"/>
      <c r="DP1" s="16"/>
      <c r="DR1" s="16"/>
      <c r="DW1" s="49" t="s">
        <v>179</v>
      </c>
      <c r="DX1" s="49"/>
      <c r="DY1" s="49"/>
      <c r="DZ1" s="49"/>
    </row>
    <row r="2" spans="1:130" x14ac:dyDescent="0.35">
      <c r="B2" s="16"/>
      <c r="C2" s="16"/>
      <c r="E2" s="76" t="s">
        <v>178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Z2" s="16"/>
      <c r="AC2" s="16"/>
      <c r="AF2" s="16"/>
      <c r="AI2" s="16"/>
      <c r="AS2" s="16"/>
      <c r="AX2" s="16"/>
      <c r="BC2" s="16"/>
      <c r="BH2" s="16"/>
      <c r="BM2" s="16"/>
      <c r="BY2" s="16"/>
      <c r="CC2" s="16"/>
      <c r="CG2" s="16"/>
      <c r="CK2" s="16"/>
      <c r="CO2" s="16"/>
      <c r="CW2" s="16"/>
      <c r="CX2" s="16"/>
      <c r="CY2" s="16"/>
      <c r="DC2" s="16"/>
      <c r="DD2" s="16"/>
      <c r="DE2" s="16"/>
      <c r="DF2" s="16"/>
      <c r="DL2" s="16"/>
      <c r="DN2" s="16"/>
      <c r="DP2" s="16"/>
      <c r="DR2" s="16"/>
      <c r="DW2" s="16"/>
      <c r="DX2" s="16"/>
      <c r="DY2" s="16"/>
      <c r="DZ2" s="16"/>
    </row>
    <row r="3" spans="1:130" x14ac:dyDescent="0.35">
      <c r="B3" s="16"/>
      <c r="C3" s="16"/>
      <c r="F3" s="16"/>
      <c r="I3" s="16"/>
      <c r="L3" s="16"/>
      <c r="O3" s="16"/>
      <c r="R3" s="16"/>
      <c r="Z3" s="16"/>
      <c r="AC3" s="16"/>
      <c r="AF3" s="16"/>
      <c r="AI3" s="16"/>
      <c r="AS3" s="16"/>
      <c r="AX3" s="16"/>
      <c r="BC3" s="16"/>
      <c r="BH3" s="16"/>
      <c r="BM3" s="16"/>
      <c r="BY3" s="16"/>
      <c r="CC3" s="16"/>
      <c r="CG3" s="16"/>
      <c r="CK3" s="16"/>
      <c r="CO3" s="16"/>
      <c r="CW3" s="16"/>
      <c r="CX3" s="16"/>
      <c r="CY3" s="16"/>
      <c r="DC3" s="16"/>
      <c r="DD3" s="16"/>
      <c r="DE3" s="16"/>
      <c r="DF3" s="16"/>
      <c r="DL3" s="16"/>
      <c r="DN3" s="16"/>
      <c r="DP3" s="16"/>
      <c r="DR3" s="16"/>
      <c r="DW3" s="16"/>
      <c r="DX3" s="16"/>
      <c r="DY3" s="16"/>
      <c r="DZ3" s="16"/>
    </row>
    <row r="4" spans="1:130" x14ac:dyDescent="0.35">
      <c r="B4" s="16"/>
      <c r="C4" s="56"/>
      <c r="F4" s="16"/>
      <c r="I4" s="16"/>
      <c r="L4" s="16"/>
      <c r="O4" s="16"/>
      <c r="R4" s="16"/>
      <c r="Z4" s="16"/>
      <c r="AC4" s="16"/>
      <c r="AF4" s="16"/>
      <c r="AI4" s="16"/>
      <c r="AS4" s="16"/>
      <c r="AX4" s="16"/>
      <c r="BC4" s="16"/>
      <c r="BH4" s="16"/>
      <c r="BM4" s="16"/>
      <c r="BY4" s="16"/>
      <c r="CC4" s="16"/>
      <c r="CG4" s="16"/>
      <c r="CK4" s="16"/>
      <c r="CO4" s="16"/>
      <c r="CW4" s="16"/>
      <c r="CX4" s="16"/>
      <c r="CY4" s="16"/>
      <c r="DC4" s="16"/>
      <c r="DD4" s="16"/>
      <c r="DE4" s="16"/>
      <c r="DF4" s="16"/>
      <c r="DL4" s="16"/>
      <c r="DN4" s="16"/>
      <c r="DP4" s="16"/>
      <c r="DR4" s="16"/>
      <c r="DW4" s="16"/>
      <c r="DX4" s="16"/>
      <c r="DY4" s="16"/>
      <c r="DZ4" s="16"/>
    </row>
    <row r="5" spans="1:130" ht="14.5" thickBot="1" x14ac:dyDescent="0.4">
      <c r="C5" s="83" t="s">
        <v>146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W5" s="85" t="s">
        <v>147</v>
      </c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48"/>
      <c r="AN5" s="83" t="s">
        <v>148</v>
      </c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U5" s="83" t="s">
        <v>176</v>
      </c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V5" s="83" t="s">
        <v>149</v>
      </c>
      <c r="CW5" s="75"/>
      <c r="CX5" s="75"/>
      <c r="CY5" s="75"/>
      <c r="DC5" s="75" t="s">
        <v>150</v>
      </c>
      <c r="DD5" s="75"/>
      <c r="DE5" s="75"/>
      <c r="DF5" s="75"/>
      <c r="DJ5" s="83" t="s">
        <v>151</v>
      </c>
      <c r="DK5" s="75"/>
      <c r="DL5" s="75"/>
      <c r="DM5" s="75"/>
      <c r="DN5" s="75"/>
      <c r="DO5" s="75"/>
      <c r="DP5" s="75"/>
      <c r="DQ5" s="75"/>
      <c r="DR5" s="75"/>
      <c r="DS5" s="75"/>
      <c r="DW5" s="75" t="s">
        <v>177</v>
      </c>
      <c r="DX5" s="75"/>
      <c r="DY5" s="75"/>
      <c r="DZ5" s="75"/>
    </row>
    <row r="6" spans="1:130" ht="14.5" thickBot="1" x14ac:dyDescent="0.4">
      <c r="C6" s="87" t="s">
        <v>123</v>
      </c>
      <c r="D6" s="88"/>
      <c r="E6" s="89"/>
      <c r="F6" s="87" t="s">
        <v>124</v>
      </c>
      <c r="G6" s="88"/>
      <c r="H6" s="89"/>
      <c r="I6" s="87" t="s">
        <v>125</v>
      </c>
      <c r="J6" s="88"/>
      <c r="K6" s="89"/>
      <c r="L6" s="87" t="s">
        <v>126</v>
      </c>
      <c r="M6" s="88"/>
      <c r="N6" s="89"/>
      <c r="O6" s="87" t="s">
        <v>127</v>
      </c>
      <c r="P6" s="88"/>
      <c r="Q6" s="89"/>
      <c r="R6" s="87" t="s">
        <v>128</v>
      </c>
      <c r="S6" s="88"/>
      <c r="T6" s="88"/>
      <c r="W6" s="87" t="s">
        <v>123</v>
      </c>
      <c r="X6" s="88"/>
      <c r="Y6" s="89"/>
      <c r="Z6" s="87" t="s">
        <v>124</v>
      </c>
      <c r="AA6" s="88"/>
      <c r="AB6" s="89"/>
      <c r="AC6" s="87" t="s">
        <v>125</v>
      </c>
      <c r="AD6" s="88"/>
      <c r="AE6" s="89"/>
      <c r="AF6" s="87" t="s">
        <v>126</v>
      </c>
      <c r="AG6" s="88"/>
      <c r="AH6" s="89"/>
      <c r="AI6" s="87" t="s">
        <v>127</v>
      </c>
      <c r="AJ6" s="88"/>
      <c r="AK6" s="88"/>
      <c r="AL6" s="49"/>
      <c r="AN6" s="87" t="s">
        <v>123</v>
      </c>
      <c r="AO6" s="88"/>
      <c r="AP6" s="88"/>
      <c r="AQ6" s="88"/>
      <c r="AR6" s="89"/>
      <c r="AS6" s="87" t="s">
        <v>124</v>
      </c>
      <c r="AT6" s="88"/>
      <c r="AU6" s="88"/>
      <c r="AV6" s="88"/>
      <c r="AW6" s="89"/>
      <c r="AX6" s="87" t="s">
        <v>125</v>
      </c>
      <c r="AY6" s="88"/>
      <c r="AZ6" s="88"/>
      <c r="BA6" s="88"/>
      <c r="BB6" s="89"/>
      <c r="BC6" s="87" t="s">
        <v>126</v>
      </c>
      <c r="BD6" s="88"/>
      <c r="BE6" s="88"/>
      <c r="BF6" s="88"/>
      <c r="BG6" s="89"/>
      <c r="BH6" s="87" t="s">
        <v>127</v>
      </c>
      <c r="BI6" s="88"/>
      <c r="BJ6" s="88"/>
      <c r="BK6" s="88"/>
      <c r="BL6" s="89"/>
      <c r="BM6" s="87" t="s">
        <v>128</v>
      </c>
      <c r="BN6" s="88"/>
      <c r="BO6" s="88"/>
      <c r="BP6" s="88"/>
      <c r="BQ6" s="88"/>
      <c r="BU6" s="87" t="s">
        <v>123</v>
      </c>
      <c r="BV6" s="88"/>
      <c r="BW6" s="88"/>
      <c r="BX6" s="89"/>
      <c r="BY6" s="87" t="s">
        <v>124</v>
      </c>
      <c r="BZ6" s="88"/>
      <c r="CA6" s="88"/>
      <c r="CB6" s="89"/>
      <c r="CC6" s="87" t="s">
        <v>125</v>
      </c>
      <c r="CD6" s="88"/>
      <c r="CE6" s="88"/>
      <c r="CF6" s="89"/>
      <c r="CG6" s="87" t="s">
        <v>126</v>
      </c>
      <c r="CH6" s="88"/>
      <c r="CI6" s="88"/>
      <c r="CJ6" s="89"/>
      <c r="CK6" s="87" t="s">
        <v>127</v>
      </c>
      <c r="CL6" s="88"/>
      <c r="CM6" s="88"/>
      <c r="CN6" s="89"/>
      <c r="CO6" s="87" t="s">
        <v>128</v>
      </c>
      <c r="CP6" s="88"/>
      <c r="CQ6" s="88"/>
      <c r="CR6" s="88"/>
      <c r="DJ6" s="77" t="s">
        <v>123</v>
      </c>
      <c r="DK6" s="78"/>
      <c r="DL6" s="79" t="s">
        <v>124</v>
      </c>
      <c r="DM6" s="80"/>
      <c r="DN6" s="81" t="s">
        <v>125</v>
      </c>
      <c r="DO6" s="82"/>
      <c r="DP6" s="81" t="s">
        <v>126</v>
      </c>
      <c r="DQ6" s="82"/>
      <c r="DR6" s="81" t="s">
        <v>128</v>
      </c>
      <c r="DS6" s="84"/>
    </row>
    <row r="7" spans="1:130" x14ac:dyDescent="0.35">
      <c r="C7" s="47">
        <v>314.39999999999998</v>
      </c>
      <c r="D7" s="16">
        <v>79.739999999999995</v>
      </c>
      <c r="E7" s="16">
        <v>397.69</v>
      </c>
      <c r="W7" s="47">
        <v>878.2</v>
      </c>
      <c r="X7" s="16">
        <v>684.9</v>
      </c>
      <c r="Y7" s="16">
        <v>497.4</v>
      </c>
      <c r="AN7" s="47">
        <v>532.29999999999995</v>
      </c>
      <c r="AO7" s="16">
        <v>20.3</v>
      </c>
      <c r="AP7" s="16">
        <v>67.8</v>
      </c>
      <c r="AQ7" s="16">
        <v>828.9</v>
      </c>
      <c r="AR7" s="16">
        <v>971.9</v>
      </c>
      <c r="BU7" s="47">
        <v>4.41</v>
      </c>
      <c r="BV7" s="16">
        <v>1050</v>
      </c>
      <c r="BW7" s="16">
        <v>1456.4340000000002</v>
      </c>
      <c r="BX7" s="16">
        <v>1333.1849999999999</v>
      </c>
      <c r="CV7" s="47">
        <v>403.3</v>
      </c>
      <c r="DC7" s="52">
        <v>328.2</v>
      </c>
      <c r="DJ7" s="47">
        <v>400</v>
      </c>
      <c r="DK7" s="16">
        <v>98</v>
      </c>
      <c r="DW7" s="47">
        <v>358.4</v>
      </c>
    </row>
    <row r="8" spans="1:130" s="51" customFormat="1" x14ac:dyDescent="0.3">
      <c r="A8" s="63" t="s">
        <v>118</v>
      </c>
      <c r="B8" s="64" t="s">
        <v>145</v>
      </c>
      <c r="C8" s="50" t="s">
        <v>75</v>
      </c>
      <c r="D8" s="51" t="s">
        <v>90</v>
      </c>
      <c r="E8" s="51" t="s">
        <v>119</v>
      </c>
      <c r="F8" s="50" t="s">
        <v>75</v>
      </c>
      <c r="G8" s="51" t="s">
        <v>90</v>
      </c>
      <c r="H8" s="51" t="s">
        <v>119</v>
      </c>
      <c r="I8" s="50" t="s">
        <v>75</v>
      </c>
      <c r="J8" s="51" t="s">
        <v>90</v>
      </c>
      <c r="K8" s="51" t="s">
        <v>119</v>
      </c>
      <c r="L8" s="50" t="s">
        <v>75</v>
      </c>
      <c r="M8" s="51" t="s">
        <v>90</v>
      </c>
      <c r="N8" s="51" t="s">
        <v>119</v>
      </c>
      <c r="O8" s="50" t="s">
        <v>75</v>
      </c>
      <c r="P8" s="51" t="s">
        <v>90</v>
      </c>
      <c r="Q8" s="51" t="s">
        <v>119</v>
      </c>
      <c r="R8" s="50" t="s">
        <v>75</v>
      </c>
      <c r="S8" s="51" t="s">
        <v>90</v>
      </c>
      <c r="T8" s="51" t="s">
        <v>119</v>
      </c>
      <c r="V8" s="66" t="s">
        <v>145</v>
      </c>
      <c r="W8" s="51" t="s">
        <v>75</v>
      </c>
      <c r="X8" s="51" t="s">
        <v>90</v>
      </c>
      <c r="Y8" s="51" t="s">
        <v>119</v>
      </c>
      <c r="Z8" s="50" t="s">
        <v>75</v>
      </c>
      <c r="AA8" s="51" t="s">
        <v>90</v>
      </c>
      <c r="AB8" s="51" t="s">
        <v>119</v>
      </c>
      <c r="AC8" s="50" t="s">
        <v>75</v>
      </c>
      <c r="AD8" s="51" t="s">
        <v>90</v>
      </c>
      <c r="AE8" s="51" t="s">
        <v>119</v>
      </c>
      <c r="AF8" s="50" t="s">
        <v>75</v>
      </c>
      <c r="AG8" s="51" t="s">
        <v>90</v>
      </c>
      <c r="AH8" s="51" t="s">
        <v>119</v>
      </c>
      <c r="AI8" s="50" t="s">
        <v>75</v>
      </c>
      <c r="AJ8" s="51" t="s">
        <v>90</v>
      </c>
      <c r="AK8" s="51" t="s">
        <v>119</v>
      </c>
      <c r="AM8" s="66" t="s">
        <v>145</v>
      </c>
      <c r="AN8" s="51" t="s">
        <v>90</v>
      </c>
      <c r="AO8" s="51" t="s">
        <v>75</v>
      </c>
      <c r="AP8" s="51" t="s">
        <v>120</v>
      </c>
      <c r="AQ8" s="51" t="s">
        <v>79</v>
      </c>
      <c r="AR8" s="51" t="s">
        <v>33</v>
      </c>
      <c r="AS8" s="50" t="s">
        <v>90</v>
      </c>
      <c r="AT8" s="51" t="s">
        <v>75</v>
      </c>
      <c r="AU8" s="51" t="s">
        <v>120</v>
      </c>
      <c r="AV8" s="51" t="s">
        <v>79</v>
      </c>
      <c r="AW8" s="51" t="s">
        <v>33</v>
      </c>
      <c r="AX8" s="50" t="s">
        <v>90</v>
      </c>
      <c r="AY8" s="51" t="s">
        <v>75</v>
      </c>
      <c r="AZ8" s="51" t="s">
        <v>120</v>
      </c>
      <c r="BA8" s="51" t="s">
        <v>79</v>
      </c>
      <c r="BB8" s="51" t="s">
        <v>33</v>
      </c>
      <c r="BC8" s="50" t="s">
        <v>90</v>
      </c>
      <c r="BD8" s="51" t="s">
        <v>75</v>
      </c>
      <c r="BE8" s="51" t="s">
        <v>120</v>
      </c>
      <c r="BF8" s="51" t="s">
        <v>79</v>
      </c>
      <c r="BG8" s="51" t="s">
        <v>33</v>
      </c>
      <c r="BH8" s="50" t="s">
        <v>90</v>
      </c>
      <c r="BI8" s="51" t="s">
        <v>75</v>
      </c>
      <c r="BJ8" s="51" t="s">
        <v>120</v>
      </c>
      <c r="BK8" s="51" t="s">
        <v>79</v>
      </c>
      <c r="BL8" s="51" t="s">
        <v>33</v>
      </c>
      <c r="BM8" s="50" t="s">
        <v>90</v>
      </c>
      <c r="BN8" s="51" t="s">
        <v>75</v>
      </c>
      <c r="BO8" s="51" t="s">
        <v>120</v>
      </c>
      <c r="BP8" s="51" t="s">
        <v>79</v>
      </c>
      <c r="BQ8" s="51" t="s">
        <v>33</v>
      </c>
      <c r="BT8" s="65" t="s">
        <v>145</v>
      </c>
      <c r="BU8" s="50" t="s">
        <v>90</v>
      </c>
      <c r="BV8" s="51" t="s">
        <v>121</v>
      </c>
      <c r="BW8" s="51" t="s">
        <v>34</v>
      </c>
      <c r="BX8" s="51" t="s">
        <v>122</v>
      </c>
      <c r="BY8" s="50" t="s">
        <v>90</v>
      </c>
      <c r="BZ8" s="51" t="s">
        <v>121</v>
      </c>
      <c r="CA8" s="51" t="s">
        <v>34</v>
      </c>
      <c r="CB8" s="51" t="s">
        <v>122</v>
      </c>
      <c r="CC8" s="50" t="s">
        <v>90</v>
      </c>
      <c r="CD8" s="51" t="s">
        <v>121</v>
      </c>
      <c r="CE8" s="51" t="s">
        <v>34</v>
      </c>
      <c r="CF8" s="51" t="s">
        <v>122</v>
      </c>
      <c r="CG8" s="50" t="s">
        <v>90</v>
      </c>
      <c r="CH8" s="51" t="s">
        <v>121</v>
      </c>
      <c r="CI8" s="51" t="s">
        <v>34</v>
      </c>
      <c r="CJ8" s="51" t="s">
        <v>122</v>
      </c>
      <c r="CK8" s="50" t="s">
        <v>90</v>
      </c>
      <c r="CL8" s="51" t="s">
        <v>121</v>
      </c>
      <c r="CM8" s="51" t="s">
        <v>34</v>
      </c>
      <c r="CN8" s="51" t="s">
        <v>122</v>
      </c>
      <c r="CO8" s="50" t="s">
        <v>90</v>
      </c>
      <c r="CP8" s="51" t="s">
        <v>121</v>
      </c>
      <c r="CQ8" s="51" t="s">
        <v>34</v>
      </c>
      <c r="CR8" s="51" t="s">
        <v>122</v>
      </c>
      <c r="CU8" s="65" t="s">
        <v>145</v>
      </c>
      <c r="CV8" s="50" t="s">
        <v>84</v>
      </c>
      <c r="CW8" s="50"/>
      <c r="CX8" s="50"/>
      <c r="CY8" s="50"/>
      <c r="DB8" s="65" t="s">
        <v>145</v>
      </c>
      <c r="DC8" s="53" t="s">
        <v>75</v>
      </c>
      <c r="DD8" s="50" t="s">
        <v>75</v>
      </c>
      <c r="DE8" s="50" t="s">
        <v>75</v>
      </c>
      <c r="DF8" s="50" t="s">
        <v>75</v>
      </c>
      <c r="DJ8" s="50" t="s">
        <v>86</v>
      </c>
      <c r="DK8" s="51" t="s">
        <v>88</v>
      </c>
      <c r="DL8" s="50" t="s">
        <v>86</v>
      </c>
      <c r="DM8" s="51" t="s">
        <v>88</v>
      </c>
      <c r="DN8" s="50" t="s">
        <v>86</v>
      </c>
      <c r="DO8" s="51" t="s">
        <v>88</v>
      </c>
      <c r="DP8" s="50" t="s">
        <v>86</v>
      </c>
      <c r="DQ8" s="51" t="s">
        <v>88</v>
      </c>
      <c r="DR8" s="50" t="s">
        <v>86</v>
      </c>
      <c r="DS8" s="51" t="s">
        <v>88</v>
      </c>
      <c r="DV8" s="65" t="s">
        <v>145</v>
      </c>
      <c r="DW8" s="50" t="s">
        <v>88</v>
      </c>
      <c r="DX8" s="50" t="s">
        <v>88</v>
      </c>
      <c r="DY8" s="50" t="s">
        <v>88</v>
      </c>
      <c r="DZ8" s="50" t="s">
        <v>88</v>
      </c>
    </row>
    <row r="9" spans="1:130" x14ac:dyDescent="0.35">
      <c r="A9" s="13">
        <v>43101</v>
      </c>
      <c r="CU9" s="69"/>
      <c r="CV9" s="16"/>
      <c r="DB9" s="16">
        <v>-107.92706779267986</v>
      </c>
      <c r="DC9" s="52">
        <v>3.9461450746866493</v>
      </c>
      <c r="DD9" s="47">
        <v>3.1980266751985633</v>
      </c>
      <c r="DE9" s="47">
        <v>4.1980266751985633</v>
      </c>
      <c r="DI9" s="16">
        <v>-44.980243374336929</v>
      </c>
      <c r="DJ9" s="47">
        <v>26.333333333333332</v>
      </c>
      <c r="DK9" s="16">
        <v>23.846666666666664</v>
      </c>
      <c r="DL9" s="47">
        <v>0.52477746778264922</v>
      </c>
      <c r="DM9" s="16">
        <v>0.47522253221735089</v>
      </c>
      <c r="DN9" s="47">
        <v>-23.60461821823182</v>
      </c>
      <c r="DO9" s="16">
        <v>-21.375625156105116</v>
      </c>
      <c r="DP9" s="47">
        <v>0.70813854654695463</v>
      </c>
      <c r="DQ9" s="16">
        <v>2.6174234885026673</v>
      </c>
      <c r="DR9" s="47">
        <v>0.11560090020832867</v>
      </c>
      <c r="DS9" s="16">
        <v>0.11560090020832879</v>
      </c>
    </row>
    <row r="10" spans="1:130" x14ac:dyDescent="0.35">
      <c r="A10" s="13">
        <v>43132</v>
      </c>
      <c r="CU10" s="69"/>
      <c r="CV10" s="16"/>
      <c r="DB10" s="16">
        <v>-107.90650232109266</v>
      </c>
      <c r="DC10" s="52">
        <v>3.9453931378827303</v>
      </c>
      <c r="DD10" s="47">
        <v>3.0674156060646709</v>
      </c>
      <c r="DE10" s="47">
        <v>4.0674156060646709</v>
      </c>
      <c r="DI10" s="16">
        <v>-44.905973787198775</v>
      </c>
      <c r="DJ10" s="47">
        <v>26.333333333333332</v>
      </c>
      <c r="DK10" s="16">
        <v>25.643333333333334</v>
      </c>
      <c r="DL10" s="47">
        <v>0.50663759379208617</v>
      </c>
      <c r="DM10" s="16">
        <v>0.49336240620791383</v>
      </c>
      <c r="DN10" s="47">
        <v>-22.751054506436883</v>
      </c>
      <c r="DO10" s="16">
        <v>-22.154919280761892</v>
      </c>
      <c r="DP10" s="47">
        <v>0.68253163519310645</v>
      </c>
      <c r="DQ10" s="16">
        <v>2.7128472588688028</v>
      </c>
      <c r="DR10" s="47">
        <v>0.15745550721101437</v>
      </c>
      <c r="DS10" s="16">
        <v>0.15745550721101434</v>
      </c>
    </row>
    <row r="11" spans="1:130" x14ac:dyDescent="0.35">
      <c r="A11" s="13">
        <v>43160</v>
      </c>
      <c r="B11" s="47">
        <v>-90.685850014773649</v>
      </c>
      <c r="C11" s="47">
        <v>26.2</v>
      </c>
      <c r="D11" s="16">
        <v>5.8475999999999999</v>
      </c>
      <c r="E11" s="16">
        <v>34.135058333333333</v>
      </c>
      <c r="F11" s="47">
        <v>0.39587409541698926</v>
      </c>
      <c r="G11" s="16">
        <v>8.8355471769480387E-2</v>
      </c>
      <c r="H11" s="16">
        <v>0.5157704328135303</v>
      </c>
      <c r="I11" s="47">
        <v>-35.900178841719281</v>
      </c>
      <c r="J11" s="16">
        <v>-8.0125910608716655</v>
      </c>
      <c r="K11" s="16">
        <v>-46.773080112182697</v>
      </c>
      <c r="L11" s="47">
        <v>1.3702358336534077</v>
      </c>
      <c r="M11" s="16">
        <v>1.2058075336149985</v>
      </c>
      <c r="N11" s="16">
        <v>1.4113429086630098</v>
      </c>
      <c r="O11" s="47">
        <v>0.37023583365340773</v>
      </c>
      <c r="P11" s="16">
        <v>0.37023583365340734</v>
      </c>
      <c r="Q11" s="16">
        <v>0.37023583365340756</v>
      </c>
      <c r="R11" s="47">
        <v>1.8322845870637423</v>
      </c>
      <c r="S11" s="16">
        <v>1.8322845870637421</v>
      </c>
      <c r="T11" s="16">
        <v>1.8322845870637425</v>
      </c>
      <c r="V11" s="16">
        <v>-124.21654142134372</v>
      </c>
      <c r="W11" s="47">
        <v>73.183333333333337</v>
      </c>
      <c r="X11" s="16">
        <v>50.225999999999999</v>
      </c>
      <c r="Y11" s="16">
        <v>42.6935</v>
      </c>
      <c r="Z11" s="47">
        <v>0.44059051772145169</v>
      </c>
      <c r="AA11" s="16">
        <v>0.30237894798101977</v>
      </c>
      <c r="AB11" s="16">
        <v>0.25703053429752853</v>
      </c>
      <c r="AC11" s="47">
        <v>-54.728630294397981</v>
      </c>
      <c r="AD11" s="16">
        <v>-37.560467116826679</v>
      </c>
      <c r="AE11" s="16">
        <v>-31.927444010119061</v>
      </c>
      <c r="AF11" s="47">
        <v>0.74782915455793186</v>
      </c>
      <c r="AG11" s="16">
        <v>0.65808965601097991</v>
      </c>
      <c r="AH11" s="16">
        <v>0.77026402919466974</v>
      </c>
      <c r="AI11" s="47">
        <v>-0.3372038170819045</v>
      </c>
      <c r="AJ11" s="16">
        <v>-0.33720381708190478</v>
      </c>
      <c r="AK11" s="16">
        <v>-0.33720381708190467</v>
      </c>
      <c r="AM11" s="16">
        <v>-342.53046959811195</v>
      </c>
      <c r="AN11" s="47">
        <v>39.035333333333334</v>
      </c>
      <c r="AO11" s="16">
        <v>1.6916666666666667</v>
      </c>
      <c r="AP11" s="16">
        <v>5.8195000000000006</v>
      </c>
      <c r="AQ11" s="16">
        <v>73.219499999999996</v>
      </c>
      <c r="AR11" s="16">
        <v>73.702416666666664</v>
      </c>
      <c r="AS11" s="47">
        <v>0.20176592131101503</v>
      </c>
      <c r="AT11" s="16">
        <v>8.7438905833467223E-3</v>
      </c>
      <c r="AU11" s="16">
        <v>3.0079845073765276E-2</v>
      </c>
      <c r="AV11" s="16">
        <v>0.37845712112355978</v>
      </c>
      <c r="AW11" s="16">
        <v>0.38095322190831321</v>
      </c>
      <c r="AX11" s="47">
        <v>-69.110975775557677</v>
      </c>
      <c r="AY11" s="16">
        <v>-2.9950489476282618</v>
      </c>
      <c r="AZ11" s="16">
        <v>-10.303263458555275</v>
      </c>
      <c r="BA11" s="16">
        <v>-129.63309542120246</v>
      </c>
      <c r="BB11" s="16">
        <v>-130.48808599516826</v>
      </c>
      <c r="BC11" s="47">
        <v>1.5580156101948004</v>
      </c>
      <c r="BD11" s="16">
        <v>1.7704722843122731</v>
      </c>
      <c r="BE11" s="16">
        <v>1.8235864528416417</v>
      </c>
      <c r="BF11" s="16">
        <v>1.8767006213710091</v>
      </c>
      <c r="BG11" s="16">
        <v>1.6111297787241683</v>
      </c>
      <c r="BH11" s="47">
        <v>0.77047228431227321</v>
      </c>
      <c r="BI11" s="16">
        <v>0.7704722843122731</v>
      </c>
      <c r="BJ11" s="16">
        <v>0.77047228431227344</v>
      </c>
      <c r="BK11" s="16">
        <v>0.77047228431227266</v>
      </c>
      <c r="BL11" s="16">
        <v>0.77047228431227277</v>
      </c>
      <c r="BM11" s="47">
        <v>2.367482296620091</v>
      </c>
      <c r="BN11" s="16">
        <v>2.3674822966200906</v>
      </c>
      <c r="BO11" s="16">
        <v>2.367482296620091</v>
      </c>
      <c r="BP11" s="16">
        <v>2.3674822966200897</v>
      </c>
      <c r="BQ11" s="16">
        <v>2.3674822966200901</v>
      </c>
      <c r="CU11" s="69"/>
      <c r="CV11" s="16"/>
      <c r="DB11" s="16">
        <v>-107.91127112609838</v>
      </c>
      <c r="DC11" s="52">
        <v>3.9455675000401604</v>
      </c>
      <c r="DD11" s="47">
        <v>2.9455675000401604</v>
      </c>
      <c r="DE11" s="47">
        <v>3.9455675000401604</v>
      </c>
      <c r="DI11" s="16">
        <v>-46.992380590303284</v>
      </c>
      <c r="DJ11" s="47">
        <v>27.333333333333332</v>
      </c>
      <c r="DK11" s="16">
        <v>24.254999999999999</v>
      </c>
      <c r="DL11" s="47">
        <v>0.52983555713501118</v>
      </c>
      <c r="DM11" s="16">
        <v>0.47016444286498887</v>
      </c>
      <c r="DN11" s="47">
        <v>-24.898234151163827</v>
      </c>
      <c r="DO11" s="16">
        <v>-22.094146439139461</v>
      </c>
      <c r="DP11" s="47">
        <v>0.74694702453491479</v>
      </c>
      <c r="DQ11" s="16">
        <v>2.70540568642524</v>
      </c>
      <c r="DR11" s="47">
        <v>9.7802083769690976E-2</v>
      </c>
      <c r="DS11" s="16">
        <v>9.780208376969117E-2</v>
      </c>
    </row>
    <row r="12" spans="1:130" x14ac:dyDescent="0.35">
      <c r="A12" s="13">
        <v>43191</v>
      </c>
      <c r="B12" s="47">
        <v>-86.472333559294356</v>
      </c>
      <c r="C12" s="47">
        <v>26.724</v>
      </c>
      <c r="D12" s="16">
        <v>5.9804999999999993</v>
      </c>
      <c r="E12" s="16">
        <v>35.792099999999998</v>
      </c>
      <c r="F12" s="47">
        <v>0.39015075200812888</v>
      </c>
      <c r="G12" s="16">
        <v>8.7310903022923755E-2</v>
      </c>
      <c r="H12" s="16">
        <v>0.52253834496894735</v>
      </c>
      <c r="I12" s="47">
        <v>-33.737245966056449</v>
      </c>
      <c r="J12" s="16">
        <v>-7.5499775295614651</v>
      </c>
      <c r="K12" s="16">
        <v>-45.18511006367644</v>
      </c>
      <c r="L12" s="47">
        <v>1.2876811437426128</v>
      </c>
      <c r="M12" s="16">
        <v>1.1361892444787758</v>
      </c>
      <c r="N12" s="16">
        <v>1.3634270933745312</v>
      </c>
      <c r="O12" s="47">
        <v>0.26243249386530665</v>
      </c>
      <c r="P12" s="16">
        <v>0.26243249386530637</v>
      </c>
      <c r="Q12" s="16">
        <v>0.26243249386530654</v>
      </c>
      <c r="R12" s="47">
        <v>1.6017615710355049</v>
      </c>
      <c r="S12" s="16">
        <v>1.6017615710355049</v>
      </c>
      <c r="T12" s="16">
        <v>1.6017615710355053</v>
      </c>
      <c r="V12" s="16">
        <v>-134.60108946126348</v>
      </c>
      <c r="W12" s="47">
        <v>74.647000000000006</v>
      </c>
      <c r="X12" s="16">
        <v>51.3675</v>
      </c>
      <c r="Y12" s="16">
        <v>44.765999999999998</v>
      </c>
      <c r="Z12" s="47">
        <v>0.43709322785681043</v>
      </c>
      <c r="AA12" s="16">
        <v>0.30078082685084073</v>
      </c>
      <c r="AB12" s="16">
        <v>0.26212594529234895</v>
      </c>
      <c r="AC12" s="47">
        <v>-58.833224665666968</v>
      </c>
      <c r="AD12" s="16">
        <v>-40.485426983182812</v>
      </c>
      <c r="AE12" s="16">
        <v>-35.282437812413718</v>
      </c>
      <c r="AF12" s="47">
        <v>0.8039156182965197</v>
      </c>
      <c r="AG12" s="16">
        <v>0.70933731026163493</v>
      </c>
      <c r="AH12" s="16">
        <v>0.85120477231396185</v>
      </c>
      <c r="AI12" s="47">
        <v>-0.26878987891957939</v>
      </c>
      <c r="AJ12" s="16">
        <v>-0.26878987891957956</v>
      </c>
      <c r="AK12" s="16">
        <v>-0.26878987891957973</v>
      </c>
      <c r="AM12" s="16">
        <v>-324.51002950835806</v>
      </c>
      <c r="AN12" s="47">
        <v>39.922499999999999</v>
      </c>
      <c r="AO12" s="16">
        <v>1.7255</v>
      </c>
      <c r="AP12" s="16">
        <v>6.1020000000000003</v>
      </c>
      <c r="AQ12" s="16">
        <v>78.745499999999993</v>
      </c>
      <c r="AR12" s="16">
        <v>77.751999999999995</v>
      </c>
      <c r="AS12" s="47">
        <v>0.19546138875628832</v>
      </c>
      <c r="AT12" s="16">
        <v>8.4480838198753971E-3</v>
      </c>
      <c r="AU12" s="16">
        <v>2.9875518672199172E-2</v>
      </c>
      <c r="AV12" s="16">
        <v>0.38553960268791537</v>
      </c>
      <c r="AW12" s="16">
        <v>0.38067540606372169</v>
      </c>
      <c r="AX12" s="47">
        <v>-63.429181033047769</v>
      </c>
      <c r="AY12" s="16">
        <v>-2.7414879296768473</v>
      </c>
      <c r="AZ12" s="16">
        <v>-9.6949054458928554</v>
      </c>
      <c r="BA12" s="16">
        <v>-125.11146784489605</v>
      </c>
      <c r="BB12" s="16">
        <v>-123.53298725484451</v>
      </c>
      <c r="BC12" s="47">
        <v>1.4299270569163502</v>
      </c>
      <c r="BD12" s="16">
        <v>1.6205839978385304</v>
      </c>
      <c r="BE12" s="16">
        <v>1.7159124682996207</v>
      </c>
      <c r="BF12" s="16">
        <v>1.8112409387607102</v>
      </c>
      <c r="BG12" s="16">
        <v>1.5252555273774404</v>
      </c>
      <c r="BH12" s="47">
        <v>0.58880784101816686</v>
      </c>
      <c r="BI12" s="16">
        <v>0.58880784101816697</v>
      </c>
      <c r="BJ12" s="16">
        <v>0.5888078410181673</v>
      </c>
      <c r="BK12" s="16">
        <v>0.58880784101816697</v>
      </c>
      <c r="BL12" s="16">
        <v>0.58880784101816719</v>
      </c>
      <c r="BM12" s="47">
        <v>2.0158633082319186</v>
      </c>
      <c r="BN12" s="16">
        <v>2.0158633082319186</v>
      </c>
      <c r="BO12" s="16">
        <v>2.0158633082319195</v>
      </c>
      <c r="BP12" s="16">
        <v>2.0158633082319182</v>
      </c>
      <c r="BQ12" s="16">
        <v>2.0158633082319186</v>
      </c>
      <c r="CU12" s="69"/>
      <c r="CV12" s="16"/>
      <c r="DB12" s="16">
        <v>-107.93451905050131</v>
      </c>
      <c r="DC12" s="52">
        <v>3.9464175155576346</v>
      </c>
      <c r="DD12" s="47">
        <v>2.8690367799584653</v>
      </c>
      <c r="DE12" s="47">
        <v>3.8690367799584653</v>
      </c>
      <c r="DF12" s="47">
        <v>4.9089947075789002</v>
      </c>
      <c r="DI12" s="16">
        <v>-46.736485161271048</v>
      </c>
      <c r="DJ12" s="47">
        <v>27.666666666666668</v>
      </c>
      <c r="DK12" s="16">
        <v>24.581666666666663</v>
      </c>
      <c r="DL12" s="47">
        <v>0.52952247280615017</v>
      </c>
      <c r="DM12" s="16">
        <v>0.47047752719384983</v>
      </c>
      <c r="DN12" s="47">
        <v>-24.748019192864188</v>
      </c>
      <c r="DO12" s="16">
        <v>-21.98846596840686</v>
      </c>
      <c r="DP12" s="47">
        <v>0.74244057578592559</v>
      </c>
      <c r="DQ12" s="16">
        <v>2.6924652206212483</v>
      </c>
      <c r="DR12" s="47">
        <v>0.11793458906982092</v>
      </c>
      <c r="DS12" s="16">
        <v>0.11793458906982088</v>
      </c>
    </row>
    <row r="13" spans="1:130" x14ac:dyDescent="0.35">
      <c r="A13" s="13">
        <v>43221</v>
      </c>
      <c r="B13" s="47">
        <v>-95.02852400088166</v>
      </c>
      <c r="C13" s="47">
        <v>27.248000000000001</v>
      </c>
      <c r="D13" s="16">
        <v>6.1133999999999995</v>
      </c>
      <c r="E13" s="16">
        <v>36.123508333333334</v>
      </c>
      <c r="F13" s="47">
        <v>0.39214270628790016</v>
      </c>
      <c r="G13" s="16">
        <v>8.7981694826058734E-2</v>
      </c>
      <c r="H13" s="16">
        <v>0.51987559888604107</v>
      </c>
      <c r="I13" s="47">
        <v>-37.264742576250406</v>
      </c>
      <c r="J13" s="16">
        <v>-8.3607705984163676</v>
      </c>
      <c r="K13" s="16">
        <v>-49.403010826214881</v>
      </c>
      <c r="L13" s="47">
        <v>1.4223184189408553</v>
      </c>
      <c r="M13" s="16">
        <v>1.2582047552169102</v>
      </c>
      <c r="N13" s="16">
        <v>1.4906991121591657</v>
      </c>
      <c r="O13" s="47">
        <v>0.36761386436620697</v>
      </c>
      <c r="P13" s="16">
        <v>0.36761386436620669</v>
      </c>
      <c r="Q13" s="16">
        <v>0.36761386436620697</v>
      </c>
      <c r="R13" s="47">
        <v>1.6472572784179627</v>
      </c>
      <c r="S13" s="16">
        <v>1.6472572784179622</v>
      </c>
      <c r="T13" s="16">
        <v>1.6472572784179627</v>
      </c>
      <c r="V13" s="16">
        <v>-144.29532088076212</v>
      </c>
      <c r="W13" s="47">
        <v>76.110666666666674</v>
      </c>
      <c r="X13" s="16">
        <v>52.509000000000007</v>
      </c>
      <c r="Y13" s="16">
        <v>45.180500000000002</v>
      </c>
      <c r="Z13" s="47">
        <v>0.43792056202477747</v>
      </c>
      <c r="AA13" s="16">
        <v>0.30212284031181408</v>
      </c>
      <c r="AB13" s="16">
        <v>0.25995659766340845</v>
      </c>
      <c r="AC13" s="47">
        <v>-63.189888017648954</v>
      </c>
      <c r="AD13" s="16">
        <v>-43.594912188200468</v>
      </c>
      <c r="AE13" s="16">
        <v>-37.510520674912698</v>
      </c>
      <c r="AF13" s="47">
        <v>0.86344643157798617</v>
      </c>
      <c r="AG13" s="16">
        <v>0.76381799716514176</v>
      </c>
      <c r="AH13" s="16">
        <v>0.90495827925000483</v>
      </c>
      <c r="AI13" s="47">
        <v>-0.2044754161521688</v>
      </c>
      <c r="AJ13" s="16">
        <v>-0.20447541615216858</v>
      </c>
      <c r="AK13" s="16">
        <v>-0.20447541615216872</v>
      </c>
      <c r="AM13" s="16">
        <v>-358.75135530079319</v>
      </c>
      <c r="AN13" s="47">
        <v>40.809666666666665</v>
      </c>
      <c r="AO13" s="16">
        <v>1.7593333333333334</v>
      </c>
      <c r="AP13" s="16">
        <v>6.1585000000000001</v>
      </c>
      <c r="AQ13" s="16">
        <v>84.271499999999989</v>
      </c>
      <c r="AR13" s="16">
        <v>79.371833333333328</v>
      </c>
      <c r="AS13" s="47">
        <v>0.19216229472816815</v>
      </c>
      <c r="AT13" s="16">
        <v>8.2842512115207309E-3</v>
      </c>
      <c r="AU13" s="16">
        <v>2.899880319409838E-2</v>
      </c>
      <c r="AV13" s="16">
        <v>0.39681296474327538</v>
      </c>
      <c r="AW13" s="16">
        <v>0.37374168612293751</v>
      </c>
      <c r="AX13" s="47">
        <v>-68.938483671440792</v>
      </c>
      <c r="AY13" s="16">
        <v>-2.9719863497853001</v>
      </c>
      <c r="AZ13" s="16">
        <v>-10.403359947983764</v>
      </c>
      <c r="BA13" s="16">
        <v>-142.3571889025759</v>
      </c>
      <c r="BB13" s="16">
        <v>-134.08033642900747</v>
      </c>
      <c r="BC13" s="47">
        <v>1.554127003677042</v>
      </c>
      <c r="BD13" s="16">
        <v>1.7568392215479605</v>
      </c>
      <c r="BE13" s="16">
        <v>1.8413026456608435</v>
      </c>
      <c r="BF13" s="16">
        <v>2.0609075483543382</v>
      </c>
      <c r="BG13" s="16">
        <v>1.6554831126125011</v>
      </c>
      <c r="BH13" s="47">
        <v>0.68926848225765436</v>
      </c>
      <c r="BI13" s="16">
        <v>0.68926848225765425</v>
      </c>
      <c r="BJ13" s="16">
        <v>0.68926848225765447</v>
      </c>
      <c r="BK13" s="16">
        <v>0.68926848225765425</v>
      </c>
      <c r="BL13" s="16">
        <v>0.68926848225765425</v>
      </c>
      <c r="BM13" s="47">
        <v>2.0346823581600306</v>
      </c>
      <c r="BN13" s="16">
        <v>2.0346823581600306</v>
      </c>
      <c r="BO13" s="16">
        <v>2.0346823581600306</v>
      </c>
      <c r="BP13" s="16">
        <v>2.0346823581600306</v>
      </c>
      <c r="BQ13" s="16">
        <v>2.0346823581600306</v>
      </c>
      <c r="CU13" s="69"/>
      <c r="CV13" s="16"/>
      <c r="DB13" s="16">
        <v>-107.91603993110411</v>
      </c>
      <c r="DC13" s="52">
        <v>3.9457418621975906</v>
      </c>
      <c r="DD13" s="47">
        <v>2.7939825598053756</v>
      </c>
      <c r="DE13" s="47">
        <v>3.7939825598053756</v>
      </c>
      <c r="DF13" s="47">
        <v>4.5697587225956493</v>
      </c>
      <c r="DI13" s="16">
        <v>-46.445584966741109</v>
      </c>
      <c r="DJ13" s="47">
        <v>27.666666666666668</v>
      </c>
      <c r="DK13" s="16">
        <v>24.99</v>
      </c>
      <c r="DL13" s="47">
        <v>0.52541621826929163</v>
      </c>
      <c r="DM13" s="16">
        <v>0.47458378173070831</v>
      </c>
      <c r="DN13" s="47">
        <v>-24.403263608530178</v>
      </c>
      <c r="DO13" s="16">
        <v>-22.042321358210931</v>
      </c>
      <c r="DP13" s="47">
        <v>0.73209790825590537</v>
      </c>
      <c r="DQ13" s="16">
        <v>2.6990597581482771</v>
      </c>
      <c r="DR13" s="47">
        <v>0.13372814023923266</v>
      </c>
      <c r="DS13" s="16">
        <v>0.13372814023923293</v>
      </c>
    </row>
    <row r="14" spans="1:130" x14ac:dyDescent="0.35">
      <c r="A14" s="13">
        <v>43252</v>
      </c>
      <c r="B14" s="47">
        <v>-84.623041262446677</v>
      </c>
      <c r="C14" s="47">
        <v>27.51</v>
      </c>
      <c r="D14" s="16">
        <v>6.1133999999999995</v>
      </c>
      <c r="E14" s="16">
        <v>36.454916666666669</v>
      </c>
      <c r="F14" s="47">
        <v>0.392560799239137</v>
      </c>
      <c r="G14" s="16">
        <v>8.7236684480862955E-2</v>
      </c>
      <c r="H14" s="16">
        <v>0.52020251628000014</v>
      </c>
      <c r="I14" s="47">
        <v>-33.219688712032536</v>
      </c>
      <c r="J14" s="16">
        <v>-7.3822335504231074</v>
      </c>
      <c r="K14" s="16">
        <v>-44.021118999991039</v>
      </c>
      <c r="L14" s="47">
        <v>1.2679270500775779</v>
      </c>
      <c r="M14" s="16">
        <v>1.1109456057822586</v>
      </c>
      <c r="N14" s="16">
        <v>1.3283045286527007</v>
      </c>
      <c r="O14" s="47">
        <v>0.20754957150245509</v>
      </c>
      <c r="P14" s="16">
        <v>0.20754957150245501</v>
      </c>
      <c r="Q14" s="16">
        <v>0.20754957150245504</v>
      </c>
      <c r="R14" s="47">
        <v>1.5166089327447425</v>
      </c>
      <c r="S14" s="16">
        <v>1.5166089327447421</v>
      </c>
      <c r="T14" s="16">
        <v>1.5166089327447425</v>
      </c>
      <c r="V14" s="16">
        <v>-139.29534934791954</v>
      </c>
      <c r="W14" s="47">
        <v>76.842500000000015</v>
      </c>
      <c r="X14" s="16">
        <v>52.509000000000007</v>
      </c>
      <c r="Y14" s="16">
        <v>45.594999999999999</v>
      </c>
      <c r="Z14" s="47">
        <v>0.43923428019423089</v>
      </c>
      <c r="AA14" s="16">
        <v>0.3001431866313416</v>
      </c>
      <c r="AB14" s="16">
        <v>0.26062253317442757</v>
      </c>
      <c r="AC14" s="47">
        <v>-61.183292505237368</v>
      </c>
      <c r="AD14" s="16">
        <v>-41.808550036210541</v>
      </c>
      <c r="AE14" s="16">
        <v>-36.303506806471638</v>
      </c>
      <c r="AF14" s="47">
        <v>0.83602768169306341</v>
      </c>
      <c r="AG14" s="16">
        <v>0.73251949253106508</v>
      </c>
      <c r="AH14" s="16">
        <v>0.87583852367844717</v>
      </c>
      <c r="AI14" s="47">
        <v>-0.25593927449102549</v>
      </c>
      <c r="AJ14" s="16">
        <v>-0.25593927449102549</v>
      </c>
      <c r="AK14" s="16">
        <v>-0.25593927449102583</v>
      </c>
      <c r="AM14" s="16">
        <v>-318.94904811027277</v>
      </c>
      <c r="AN14" s="47">
        <v>40.809666666666665</v>
      </c>
      <c r="AO14" s="16">
        <v>1.7762500000000001</v>
      </c>
      <c r="AP14" s="16">
        <v>6.2149999999999999</v>
      </c>
      <c r="AQ14" s="16">
        <v>82.89</v>
      </c>
      <c r="AR14" s="16">
        <v>80.181749999999994</v>
      </c>
      <c r="AS14" s="47">
        <v>0.19261411728428079</v>
      </c>
      <c r="AT14" s="16">
        <v>8.3835731524280303E-3</v>
      </c>
      <c r="AU14" s="16">
        <v>2.9333656378516655E-2</v>
      </c>
      <c r="AV14" s="16">
        <v>0.39122554741999122</v>
      </c>
      <c r="AW14" s="16">
        <v>0.37844310576478318</v>
      </c>
      <c r="AX14" s="47">
        <v>-61.434089360421794</v>
      </c>
      <c r="AY14" s="16">
        <v>-2.6739326767297591</v>
      </c>
      <c r="AZ14" s="16">
        <v>-9.3559417795217179</v>
      </c>
      <c r="BA14" s="16">
        <v>-124.78101594602659</v>
      </c>
      <c r="BB14" s="16">
        <v>-120.70406834757287</v>
      </c>
      <c r="BC14" s="47">
        <v>1.3849503519163284</v>
      </c>
      <c r="BD14" s="16">
        <v>1.5806498581653747</v>
      </c>
      <c r="BE14" s="16">
        <v>1.6559188990303926</v>
      </c>
      <c r="BF14" s="16">
        <v>1.8064569807604283</v>
      </c>
      <c r="BG14" s="16">
        <v>1.4903270091273531</v>
      </c>
      <c r="BH14" s="47">
        <v>0.50538081730035689</v>
      </c>
      <c r="BI14" s="16">
        <v>0.50538081730035678</v>
      </c>
      <c r="BJ14" s="16">
        <v>0.50538081730035678</v>
      </c>
      <c r="BK14" s="16">
        <v>0.505380817300357</v>
      </c>
      <c r="BL14" s="16">
        <v>0.50538081730035667</v>
      </c>
      <c r="BM14" s="47">
        <v>1.8906668915129177</v>
      </c>
      <c r="BN14" s="16">
        <v>1.8906668915129172</v>
      </c>
      <c r="BO14" s="16">
        <v>1.8906668915129177</v>
      </c>
      <c r="BP14" s="16">
        <v>1.8906668915129172</v>
      </c>
      <c r="BQ14" s="16">
        <v>1.890666891512917</v>
      </c>
      <c r="CU14" s="69"/>
      <c r="CV14" s="16"/>
      <c r="DB14" s="16">
        <v>-107.91603993110411</v>
      </c>
      <c r="DC14" s="52">
        <v>3.9457418621975906</v>
      </c>
      <c r="DD14" s="47">
        <v>2.7578493925691339</v>
      </c>
      <c r="DE14" s="47">
        <v>3.7578493925691339</v>
      </c>
      <c r="DF14" s="47">
        <v>4.7196306397498198</v>
      </c>
      <c r="DI14" s="16">
        <v>-47.43475424007444</v>
      </c>
      <c r="DJ14" s="47">
        <v>28</v>
      </c>
      <c r="DK14" s="16">
        <v>25.316666666666666</v>
      </c>
      <c r="DL14" s="47">
        <v>0.52516411378555805</v>
      </c>
      <c r="DM14" s="16">
        <v>0.47483588621444206</v>
      </c>
      <c r="DN14" s="47">
        <v>-24.911030673124436</v>
      </c>
      <c r="DO14" s="16">
        <v>-22.523723566950011</v>
      </c>
      <c r="DP14" s="47">
        <v>0.74733092019373315</v>
      </c>
      <c r="DQ14" s="16">
        <v>2.7580069673816339</v>
      </c>
      <c r="DR14" s="47">
        <v>0.12400006115395827</v>
      </c>
      <c r="DS14" s="16">
        <v>0.12400006115395849</v>
      </c>
    </row>
    <row r="15" spans="1:130" x14ac:dyDescent="0.35">
      <c r="A15" s="13">
        <v>43282</v>
      </c>
      <c r="B15" s="47">
        <v>-90.191176909946094</v>
      </c>
      <c r="C15" s="47">
        <v>27.772000000000002</v>
      </c>
      <c r="D15" s="16">
        <v>6.2462999999999989</v>
      </c>
      <c r="E15" s="16">
        <v>37.449141666666662</v>
      </c>
      <c r="F15" s="47">
        <v>0.38859653224376178</v>
      </c>
      <c r="G15" s="16">
        <v>8.7400638029461644E-2</v>
      </c>
      <c r="H15" s="16">
        <v>0.52400282972677636</v>
      </c>
      <c r="I15" s="47">
        <v>-35.047978586188691</v>
      </c>
      <c r="J15" s="16">
        <v>-7.8827664065573373</v>
      </c>
      <c r="K15" s="16">
        <v>-47.260431917200044</v>
      </c>
      <c r="L15" s="47">
        <v>1.3377091063430799</v>
      </c>
      <c r="M15" s="16">
        <v>1.1862703395872591</v>
      </c>
      <c r="N15" s="16">
        <v>1.4260483869506413</v>
      </c>
      <c r="O15" s="47">
        <v>0.2619897229651697</v>
      </c>
      <c r="P15" s="16">
        <v>0.26198972296516937</v>
      </c>
      <c r="Q15" s="16">
        <v>0.26198972296516942</v>
      </c>
      <c r="R15" s="47">
        <v>1.5844471939456144</v>
      </c>
      <c r="S15" s="16">
        <v>1.5844471939456142</v>
      </c>
      <c r="T15" s="16">
        <v>1.5844471939456142</v>
      </c>
      <c r="V15" s="16">
        <v>-141.82492011235888</v>
      </c>
      <c r="W15" s="47">
        <v>77.574333333333342</v>
      </c>
      <c r="X15" s="16">
        <v>53.650499999999994</v>
      </c>
      <c r="Y15" s="16">
        <v>46.838499999999989</v>
      </c>
      <c r="Z15" s="47">
        <v>0.43565585278646185</v>
      </c>
      <c r="AA15" s="16">
        <v>0.30130009921563489</v>
      </c>
      <c r="AB15" s="16">
        <v>0.26304404799790337</v>
      </c>
      <c r="AC15" s="47">
        <v>-61.786856517921535</v>
      </c>
      <c r="AD15" s="16">
        <v>-42.731862501103222</v>
      </c>
      <c r="AE15" s="16">
        <v>-37.306201093334138</v>
      </c>
      <c r="AF15" s="47">
        <v>0.84427496950018033</v>
      </c>
      <c r="AG15" s="16">
        <v>0.74869667106619753</v>
      </c>
      <c r="AH15" s="16">
        <v>0.90002897692000339</v>
      </c>
      <c r="AI15" s="47">
        <v>-0.25551513226494349</v>
      </c>
      <c r="AJ15" s="16">
        <v>-0.2555151322649436</v>
      </c>
      <c r="AK15" s="16">
        <v>-0.25551513226494355</v>
      </c>
      <c r="AM15" s="16">
        <v>-340.1014818187565</v>
      </c>
      <c r="AN15" s="47">
        <v>41.696833333333323</v>
      </c>
      <c r="AO15" s="16">
        <v>1.7931666666666668</v>
      </c>
      <c r="AP15" s="16">
        <v>6.3844999999999992</v>
      </c>
      <c r="AQ15" s="16">
        <v>88.415999999999997</v>
      </c>
      <c r="AR15" s="16">
        <v>84.231333333333339</v>
      </c>
      <c r="AS15" s="47">
        <v>0.18738311072097041</v>
      </c>
      <c r="AT15" s="16">
        <v>8.0583852820434853E-3</v>
      </c>
      <c r="AU15" s="16">
        <v>2.8691566595337833E-2</v>
      </c>
      <c r="AV15" s="16">
        <v>0.39733629134519383</v>
      </c>
      <c r="AW15" s="16">
        <v>0.37853064605645442</v>
      </c>
      <c r="AX15" s="47">
        <v>-63.729273624010155</v>
      </c>
      <c r="AY15" s="16">
        <v>-2.7406687754894472</v>
      </c>
      <c r="AZ15" s="16">
        <v>-9.7580443147759315</v>
      </c>
      <c r="BA15" s="16">
        <v>-135.13466146686957</v>
      </c>
      <c r="BB15" s="16">
        <v>-128.73883363761138</v>
      </c>
      <c r="BC15" s="47">
        <v>1.4366922477702835</v>
      </c>
      <c r="BD15" s="16">
        <v>1.6200997687622349</v>
      </c>
      <c r="BE15" s="16">
        <v>1.727087489340873</v>
      </c>
      <c r="BF15" s="16">
        <v>1.9563468905808119</v>
      </c>
      <c r="BG15" s="16">
        <v>1.5895318485969099</v>
      </c>
      <c r="BH15" s="47">
        <v>0.5283960082662591</v>
      </c>
      <c r="BI15" s="16">
        <v>0.52839600826625932</v>
      </c>
      <c r="BJ15" s="16">
        <v>0.52839600826625943</v>
      </c>
      <c r="BK15" s="16">
        <v>0.52839600826625932</v>
      </c>
      <c r="BL15" s="16">
        <v>0.52839600826625943</v>
      </c>
      <c r="BM15" s="47">
        <v>1.9189243164716241</v>
      </c>
      <c r="BN15" s="16">
        <v>1.9189243164716241</v>
      </c>
      <c r="BO15" s="16">
        <v>1.9189243164716245</v>
      </c>
      <c r="BP15" s="16">
        <v>1.9189243164716239</v>
      </c>
      <c r="BQ15" s="16">
        <v>1.9189243164716243</v>
      </c>
      <c r="CU15" s="69"/>
      <c r="CV15" s="16"/>
      <c r="DB15" s="16">
        <v>-107.91782823298126</v>
      </c>
      <c r="DC15" s="52">
        <v>3.945807248006628</v>
      </c>
      <c r="DD15" s="47">
        <v>2.7224596679307811</v>
      </c>
      <c r="DE15" s="47">
        <v>3.7224596679307811</v>
      </c>
      <c r="DF15" s="47">
        <v>4.6736044423330316</v>
      </c>
      <c r="DI15" s="16">
        <v>-48.223541800405307</v>
      </c>
      <c r="DJ15" s="47">
        <v>28.333333333333332</v>
      </c>
      <c r="DK15" s="16">
        <v>25.561666666666667</v>
      </c>
      <c r="DL15" s="47">
        <v>0.52571357887249903</v>
      </c>
      <c r="DM15" s="16">
        <v>0.47428642112750108</v>
      </c>
      <c r="DN15" s="47">
        <v>-25.351770745798628</v>
      </c>
      <c r="DO15" s="16">
        <v>-22.871771054606683</v>
      </c>
      <c r="DP15" s="47">
        <v>0.76055312237395889</v>
      </c>
      <c r="DQ15" s="16">
        <v>2.800625027094696</v>
      </c>
      <c r="DR15" s="47">
        <v>0.11760766604552923</v>
      </c>
      <c r="DS15" s="16">
        <v>0.11760766604552911</v>
      </c>
      <c r="DV15" s="16">
        <v>-51.557244247780552</v>
      </c>
      <c r="DW15" s="47">
        <v>1.7262470172247952</v>
      </c>
      <c r="DX15" s="47">
        <v>0.8131819888858961</v>
      </c>
      <c r="DY15" s="47">
        <v>0.93078965493142518</v>
      </c>
      <c r="DZ15" s="47">
        <v>1.0424207186857044</v>
      </c>
    </row>
    <row r="16" spans="1:130" x14ac:dyDescent="0.35">
      <c r="A16" s="13">
        <v>43313</v>
      </c>
      <c r="B16" s="47">
        <v>-103.28642190084203</v>
      </c>
      <c r="C16" s="47">
        <v>28.034000000000002</v>
      </c>
      <c r="D16" s="16">
        <v>6.2462999999999989</v>
      </c>
      <c r="E16" s="16">
        <v>37.449141666666662</v>
      </c>
      <c r="F16" s="47">
        <v>0.39082975342644632</v>
      </c>
      <c r="G16" s="16">
        <v>8.7081397190112403E-2</v>
      </c>
      <c r="H16" s="16">
        <v>0.52208884938344113</v>
      </c>
      <c r="I16" s="47">
        <v>-40.367406803805999</v>
      </c>
      <c r="J16" s="16">
        <v>-8.9943259298927494</v>
      </c>
      <c r="K16" s="16">
        <v>-53.924689167143271</v>
      </c>
      <c r="L16" s="47">
        <v>1.5407407177025192</v>
      </c>
      <c r="M16" s="16">
        <v>1.3535479202246425</v>
      </c>
      <c r="N16" s="16">
        <v>1.6271373934615385</v>
      </c>
      <c r="O16" s="47">
        <v>0.4399445959836627</v>
      </c>
      <c r="P16" s="16">
        <v>0.43994459598366237</v>
      </c>
      <c r="Q16" s="16">
        <v>0.43994459598366253</v>
      </c>
      <c r="R16" s="47">
        <v>1.8107069504719902</v>
      </c>
      <c r="S16" s="16">
        <v>1.8107069504719897</v>
      </c>
      <c r="T16" s="16">
        <v>1.8107069504719897</v>
      </c>
      <c r="V16" s="16">
        <v>-142.18487092157849</v>
      </c>
      <c r="W16" s="47">
        <v>78.30616666666667</v>
      </c>
      <c r="X16" s="16">
        <v>53.650499999999994</v>
      </c>
      <c r="Y16" s="16">
        <v>46.838499999999989</v>
      </c>
      <c r="Z16" s="47">
        <v>0.43796579139443564</v>
      </c>
      <c r="AA16" s="16">
        <v>0.30006683625862374</v>
      </c>
      <c r="AB16" s="16">
        <v>0.26196737234694079</v>
      </c>
      <c r="AC16" s="47">
        <v>-62.272109517484807</v>
      </c>
      <c r="AD16" s="16">
        <v>-42.664964381278843</v>
      </c>
      <c r="AE16" s="16">
        <v>-37.247797022814865</v>
      </c>
      <c r="AF16" s="47">
        <v>0.85090561854909774</v>
      </c>
      <c r="AG16" s="16">
        <v>0.7475245620898614</v>
      </c>
      <c r="AH16" s="16">
        <v>0.89861995229951419</v>
      </c>
      <c r="AI16" s="47">
        <v>-0.25748376397430078</v>
      </c>
      <c r="AJ16" s="16">
        <v>-0.25748376397430095</v>
      </c>
      <c r="AK16" s="16">
        <v>-0.25748376397430095</v>
      </c>
      <c r="AM16" s="16">
        <v>-388.41127604886549</v>
      </c>
      <c r="AN16" s="47">
        <v>41.696833333333323</v>
      </c>
      <c r="AO16" s="16">
        <v>1.8100833333333337</v>
      </c>
      <c r="AP16" s="16">
        <v>6.3844999999999992</v>
      </c>
      <c r="AQ16" s="16">
        <v>91.178999999999988</v>
      </c>
      <c r="AR16" s="16">
        <v>86.661083333333337</v>
      </c>
      <c r="AS16" s="47">
        <v>0.18309646813608713</v>
      </c>
      <c r="AT16" s="16">
        <v>7.9483221835070419E-3</v>
      </c>
      <c r="AU16" s="16">
        <v>2.8035208128871059E-2</v>
      </c>
      <c r="AV16" s="16">
        <v>0.40037939415495877</v>
      </c>
      <c r="AW16" s="16">
        <v>0.38054060739657597</v>
      </c>
      <c r="AX16" s="47">
        <v>-71.116732828778041</v>
      </c>
      <c r="AY16" s="16">
        <v>-3.087217961743475</v>
      </c>
      <c r="AZ16" s="16">
        <v>-10.889190963630334</v>
      </c>
      <c r="BA16" s="16">
        <v>-155.51187138739922</v>
      </c>
      <c r="BB16" s="16">
        <v>-147.80626290731442</v>
      </c>
      <c r="BC16" s="47">
        <v>1.6032327521047089</v>
      </c>
      <c r="BD16" s="16">
        <v>1.8249564305872759</v>
      </c>
      <c r="BE16" s="16">
        <v>1.927290436040767</v>
      </c>
      <c r="BF16" s="16">
        <v>2.2513481199768259</v>
      </c>
      <c r="BG16" s="16">
        <v>1.8249564305872754</v>
      </c>
      <c r="BH16" s="47">
        <v>0.70556675755820109</v>
      </c>
      <c r="BI16" s="16">
        <v>0.70556675755820164</v>
      </c>
      <c r="BJ16" s="16">
        <v>0.70556675755820109</v>
      </c>
      <c r="BK16" s="16">
        <v>0.70556675755820142</v>
      </c>
      <c r="BL16" s="16">
        <v>0.7055667575582012</v>
      </c>
      <c r="BM16" s="47">
        <v>2.1447225060037307</v>
      </c>
      <c r="BN16" s="16">
        <v>2.1447225060037312</v>
      </c>
      <c r="BO16" s="16">
        <v>2.1447225060037307</v>
      </c>
      <c r="BP16" s="16">
        <v>2.1447225060037312</v>
      </c>
      <c r="BQ16" s="16">
        <v>2.1447225060037303</v>
      </c>
      <c r="CU16" s="69"/>
      <c r="CV16" s="16"/>
      <c r="DB16" s="16">
        <v>-107.9395859058199</v>
      </c>
      <c r="DC16" s="52">
        <v>3.9466027753499047</v>
      </c>
      <c r="DD16" s="47">
        <v>2.6884138087382281</v>
      </c>
      <c r="DE16" s="47">
        <v>3.6884138087382281</v>
      </c>
      <c r="DF16" s="47">
        <v>4.6381204793069344</v>
      </c>
      <c r="DI16" s="16">
        <v>-49.528972843319572</v>
      </c>
      <c r="DJ16" s="47">
        <v>28</v>
      </c>
      <c r="DK16" s="16">
        <v>25.234999999999999</v>
      </c>
      <c r="DL16" s="47">
        <v>0.52596975673898749</v>
      </c>
      <c r="DM16" s="16">
        <v>0.47403024326101251</v>
      </c>
      <c r="DN16" s="47">
        <v>-26.050741797932712</v>
      </c>
      <c r="DO16" s="16">
        <v>-23.47823104538686</v>
      </c>
      <c r="DP16" s="47">
        <v>0.78152225393798136</v>
      </c>
      <c r="DQ16" s="16">
        <v>2.8748854341290029</v>
      </c>
      <c r="DR16" s="47">
        <v>7.4825439413090833E-2</v>
      </c>
      <c r="DS16" s="16">
        <v>7.4825439413090805E-2</v>
      </c>
      <c r="DV16" s="16">
        <v>-52.320752364086616</v>
      </c>
      <c r="DW16" s="47">
        <v>1.751810905047543</v>
      </c>
      <c r="DX16" s="47">
        <v>0.76388900828091333</v>
      </c>
      <c r="DY16" s="47">
        <v>0.83871444769400416</v>
      </c>
      <c r="DZ16" s="47">
        <v>1.0397265038735015</v>
      </c>
    </row>
    <row r="17" spans="1:130" x14ac:dyDescent="0.35">
      <c r="A17" s="13">
        <v>43344</v>
      </c>
      <c r="B17" s="47">
        <v>-101.19757517057361</v>
      </c>
      <c r="C17" s="47">
        <v>29.081999999999997</v>
      </c>
      <c r="D17" s="16">
        <v>6.1133999999999995</v>
      </c>
      <c r="E17" s="16">
        <v>37.780549999999998</v>
      </c>
      <c r="F17" s="47">
        <v>0.39851485318108226</v>
      </c>
      <c r="G17" s="16">
        <v>8.3772804602064099E-2</v>
      </c>
      <c r="H17" s="16">
        <v>0.51771234221685358</v>
      </c>
      <c r="I17" s="47">
        <v>-40.328736811382683</v>
      </c>
      <c r="J17" s="16">
        <v>-8.4776046909671567</v>
      </c>
      <c r="K17" s="16">
        <v>-52.391233668223769</v>
      </c>
      <c r="L17" s="47">
        <v>1.5392647637932324</v>
      </c>
      <c r="M17" s="16">
        <v>1.2757870114322283</v>
      </c>
      <c r="N17" s="16">
        <v>1.5808665141660216</v>
      </c>
      <c r="O17" s="47">
        <v>0.38672501242633539</v>
      </c>
      <c r="P17" s="16">
        <v>0.386725012426335</v>
      </c>
      <c r="Q17" s="16">
        <v>0.38672501242633489</v>
      </c>
      <c r="R17" s="47">
        <v>1.7040215106607937</v>
      </c>
      <c r="S17" s="16">
        <v>1.7040215106607932</v>
      </c>
      <c r="T17" s="16">
        <v>1.7040215106607932</v>
      </c>
      <c r="V17" s="16">
        <v>-147.29332078048725</v>
      </c>
      <c r="W17" s="47">
        <v>81.233500000000006</v>
      </c>
      <c r="X17" s="16">
        <v>52.509000000000007</v>
      </c>
      <c r="Y17" s="16">
        <v>47.252999999999993</v>
      </c>
      <c r="Z17" s="47">
        <v>0.44881502578793403</v>
      </c>
      <c r="AA17" s="16">
        <v>0.29011218510957459</v>
      </c>
      <c r="AB17" s="16">
        <v>0.26107278910249149</v>
      </c>
      <c r="AC17" s="47">
        <v>-66.107455564484823</v>
      </c>
      <c r="AD17" s="16">
        <v>-42.73158714367267</v>
      </c>
      <c r="AE17" s="16">
        <v>-38.454278072329771</v>
      </c>
      <c r="AF17" s="47">
        <v>0.90331298881099742</v>
      </c>
      <c r="AG17" s="16">
        <v>0.74869184658208798</v>
      </c>
      <c r="AH17" s="16">
        <v>0.92772685337345639</v>
      </c>
      <c r="AI17" s="47">
        <v>-0.22880996260339212</v>
      </c>
      <c r="AJ17" s="16">
        <v>-0.22880996260339201</v>
      </c>
      <c r="AK17" s="16">
        <v>-0.22880996260339245</v>
      </c>
      <c r="AM17" s="16">
        <v>-379.88436951361706</v>
      </c>
      <c r="AN17" s="47">
        <v>40.809666666666665</v>
      </c>
      <c r="AO17" s="16">
        <v>1.87775</v>
      </c>
      <c r="AP17" s="16">
        <v>6.4409999999999989</v>
      </c>
      <c r="AQ17" s="16">
        <v>92.560500000000005</v>
      </c>
      <c r="AR17" s="16">
        <v>91.52058333333332</v>
      </c>
      <c r="AS17" s="47">
        <v>0.17499144188665841</v>
      </c>
      <c r="AT17" s="16">
        <v>8.0517731910578257E-3</v>
      </c>
      <c r="AU17" s="16">
        <v>2.7618943482148023E-2</v>
      </c>
      <c r="AV17" s="16">
        <v>0.39689849684511141</v>
      </c>
      <c r="AW17" s="16">
        <v>0.39243934459502433</v>
      </c>
      <c r="AX17" s="47">
        <v>-66.47651357139199</v>
      </c>
      <c r="AY17" s="16">
        <v>-3.0587427821516466</v>
      </c>
      <c r="AZ17" s="16">
        <v>-10.492004931348024</v>
      </c>
      <c r="BA17" s="16">
        <v>-150.77553523490747</v>
      </c>
      <c r="BB17" s="16">
        <v>-149.08157299381793</v>
      </c>
      <c r="BC17" s="47">
        <v>1.498625141568108</v>
      </c>
      <c r="BD17" s="16">
        <v>1.8081238121093477</v>
      </c>
      <c r="BE17" s="16">
        <v>1.8569920232474377</v>
      </c>
      <c r="BF17" s="16">
        <v>2.1827800975013751</v>
      </c>
      <c r="BG17" s="16">
        <v>1.8407026195347416</v>
      </c>
      <c r="BH17" s="47">
        <v>0.6289403712696825</v>
      </c>
      <c r="BI17" s="16">
        <v>0.6289403712696825</v>
      </c>
      <c r="BJ17" s="16">
        <v>0.62894037126968239</v>
      </c>
      <c r="BK17" s="16">
        <v>0.62894037126968283</v>
      </c>
      <c r="BL17" s="16">
        <v>0.62894037126968294</v>
      </c>
      <c r="BM17" s="47">
        <v>2.001658156703054</v>
      </c>
      <c r="BN17" s="16">
        <v>2.001658156703054</v>
      </c>
      <c r="BO17" s="16">
        <v>2.0016581567030545</v>
      </c>
      <c r="BP17" s="16">
        <v>2.0016581567030549</v>
      </c>
      <c r="BQ17" s="16">
        <v>2.0016581567030549</v>
      </c>
      <c r="CU17" s="69"/>
      <c r="CV17" s="16"/>
      <c r="DB17" s="16">
        <v>-107.94614301270276</v>
      </c>
      <c r="DC17" s="52">
        <v>3.9468425233163718</v>
      </c>
      <c r="DD17" s="47">
        <v>2.5557139849697039</v>
      </c>
      <c r="DE17" s="47">
        <v>3.5557139849697039</v>
      </c>
      <c r="DF17" s="47">
        <v>4.3692967688989803</v>
      </c>
      <c r="DI17" s="16">
        <v>-50.235639240088261</v>
      </c>
      <c r="DJ17" s="47">
        <v>28</v>
      </c>
      <c r="DK17" s="16">
        <v>25.806666666666668</v>
      </c>
      <c r="DL17" s="47">
        <v>0.5203816131830008</v>
      </c>
      <c r="DM17" s="16">
        <v>0.47961838681699914</v>
      </c>
      <c r="DN17" s="47">
        <v>-26.141702987036386</v>
      </c>
      <c r="DO17" s="16">
        <v>-24.093936253051872</v>
      </c>
      <c r="DP17" s="47">
        <v>0.78425108961109158</v>
      </c>
      <c r="DQ17" s="16">
        <v>2.9502779085369637</v>
      </c>
      <c r="DR17" s="47">
        <v>7.1085537689917849E-2</v>
      </c>
      <c r="DS17" s="16">
        <v>7.1085537689917891E-2</v>
      </c>
      <c r="DV17" s="16">
        <v>-52.743984061345841</v>
      </c>
      <c r="DW17" s="47">
        <v>1.7659816091968472</v>
      </c>
      <c r="DX17" s="47">
        <v>0.78937310759263235</v>
      </c>
      <c r="DY17" s="47">
        <v>0.86045864528255023</v>
      </c>
      <c r="DZ17" s="47">
        <v>1.0344171424296489</v>
      </c>
    </row>
    <row r="18" spans="1:130" x14ac:dyDescent="0.35">
      <c r="A18" s="13">
        <v>43374</v>
      </c>
      <c r="B18" s="47">
        <v>-107.09015688269929</v>
      </c>
      <c r="C18" s="47">
        <v>29.081999999999997</v>
      </c>
      <c r="D18" s="16">
        <v>5.5818000000000003</v>
      </c>
      <c r="E18" s="16">
        <v>36.786325000000005</v>
      </c>
      <c r="F18" s="47">
        <v>0.40702518015188915</v>
      </c>
      <c r="G18" s="16">
        <v>7.8121626799113372E-2</v>
      </c>
      <c r="H18" s="16">
        <v>0.51485319304899757</v>
      </c>
      <c r="I18" s="47">
        <v>-43.58839039767475</v>
      </c>
      <c r="J18" s="16">
        <v>-8.3660572698487368</v>
      </c>
      <c r="K18" s="16">
        <v>-55.135709215175815</v>
      </c>
      <c r="L18" s="47">
        <v>1.6636790228120137</v>
      </c>
      <c r="M18" s="16">
        <v>1.2590003415874698</v>
      </c>
      <c r="N18" s="16">
        <v>1.663679022812014</v>
      </c>
      <c r="O18" s="47">
        <v>0.49880993046127353</v>
      </c>
      <c r="P18" s="16">
        <v>0.49880993046127359</v>
      </c>
      <c r="Q18" s="16">
        <v>0.4988099304612737</v>
      </c>
      <c r="R18" s="47">
        <v>1.8415111248508795</v>
      </c>
      <c r="S18" s="16">
        <v>1.8415111248508804</v>
      </c>
      <c r="T18" s="16">
        <v>1.84151112485088</v>
      </c>
      <c r="V18" s="16">
        <v>-142.58426839482217</v>
      </c>
      <c r="W18" s="47">
        <v>81.233500000000006</v>
      </c>
      <c r="X18" s="16">
        <v>47.942999999999991</v>
      </c>
      <c r="Y18" s="16">
        <v>46.009500000000003</v>
      </c>
      <c r="Z18" s="47">
        <v>0.46369858322012036</v>
      </c>
      <c r="AA18" s="16">
        <v>0.27366912881166294</v>
      </c>
      <c r="AB18" s="16">
        <v>0.26263228796821664</v>
      </c>
      <c r="AC18" s="47">
        <v>-66.116123244156427</v>
      </c>
      <c r="AD18" s="16">
        <v>-39.020912513859308</v>
      </c>
      <c r="AE18" s="16">
        <v>-37.447232636806426</v>
      </c>
      <c r="AF18" s="47">
        <v>0.90343142670220566</v>
      </c>
      <c r="AG18" s="16">
        <v>0.6836778364232905</v>
      </c>
      <c r="AH18" s="16">
        <v>0.90343142670220566</v>
      </c>
      <c r="AI18" s="47">
        <v>-0.22864886829521902</v>
      </c>
      <c r="AJ18" s="16">
        <v>-0.22864886829521935</v>
      </c>
      <c r="AK18" s="16">
        <v>-0.22864886829521902</v>
      </c>
      <c r="AM18" s="16">
        <v>-400.98465190109243</v>
      </c>
      <c r="AN18" s="47">
        <v>37.260999999999996</v>
      </c>
      <c r="AO18" s="16">
        <v>1.87775</v>
      </c>
      <c r="AP18" s="16">
        <v>6.2715000000000005</v>
      </c>
      <c r="AQ18" s="16">
        <v>89.797499999999999</v>
      </c>
      <c r="AR18" s="16">
        <v>91.52058333333332</v>
      </c>
      <c r="AS18" s="47">
        <v>0.1643420540000147</v>
      </c>
      <c r="AT18" s="16">
        <v>8.2819380021611766E-3</v>
      </c>
      <c r="AU18" s="16">
        <v>2.7660856972735362E-2</v>
      </c>
      <c r="AV18" s="16">
        <v>0.39605769018722847</v>
      </c>
      <c r="AW18" s="16">
        <v>0.40365746083786025</v>
      </c>
      <c r="AX18" s="47">
        <v>-65.898641315906431</v>
      </c>
      <c r="AY18" s="16">
        <v>-3.3209300268630284</v>
      </c>
      <c r="AZ18" s="16">
        <v>-11.091579104498194</v>
      </c>
      <c r="BA18" s="16">
        <v>-158.81305503247651</v>
      </c>
      <c r="BB18" s="16">
        <v>-161.86044642134826</v>
      </c>
      <c r="BC18" s="47">
        <v>1.4855977752975338</v>
      </c>
      <c r="BD18" s="16">
        <v>1.9631113459288838</v>
      </c>
      <c r="BE18" s="16">
        <v>1.963111345928884</v>
      </c>
      <c r="BF18" s="16">
        <v>2.2991394141509449</v>
      </c>
      <c r="BG18" s="16">
        <v>1.998482721531206</v>
      </c>
      <c r="BH18" s="47">
        <v>0.76856878011611174</v>
      </c>
      <c r="BI18" s="16">
        <v>0.76856878011611141</v>
      </c>
      <c r="BJ18" s="16">
        <v>0.76856878011611163</v>
      </c>
      <c r="BK18" s="16">
        <v>0.76856878011611141</v>
      </c>
      <c r="BL18" s="16">
        <v>0.76856878011611163</v>
      </c>
      <c r="BM18" s="47">
        <v>2.1729500301919176</v>
      </c>
      <c r="BN18" s="16">
        <v>2.1729500301919167</v>
      </c>
      <c r="BO18" s="16">
        <v>2.1729500301919167</v>
      </c>
      <c r="BP18" s="16">
        <v>2.1729500301919167</v>
      </c>
      <c r="BQ18" s="16">
        <v>2.1729500301919167</v>
      </c>
      <c r="CU18" s="69"/>
      <c r="CV18" s="16"/>
      <c r="DB18" s="16">
        <v>-107.96372798116138</v>
      </c>
      <c r="DC18" s="52">
        <v>3.9474854837718976</v>
      </c>
      <c r="DD18" s="47">
        <v>2.5562932286233306</v>
      </c>
      <c r="DE18" s="47">
        <v>3.5562932286233306</v>
      </c>
      <c r="DF18" s="47">
        <v>4.3694356506740055</v>
      </c>
      <c r="DI18" s="16">
        <v>-50.641981231119438</v>
      </c>
      <c r="DJ18" s="47">
        <v>28.333333333333332</v>
      </c>
      <c r="DK18" s="16">
        <v>25.316666666666666</v>
      </c>
      <c r="DL18" s="47">
        <v>0.52811432121776947</v>
      </c>
      <c r="DM18" s="16">
        <v>0.47188567878223053</v>
      </c>
      <c r="DN18" s="47">
        <v>-26.744755542995662</v>
      </c>
      <c r="DO18" s="16">
        <v>-23.897225688123775</v>
      </c>
      <c r="DP18" s="47">
        <v>0.80234266628986983</v>
      </c>
      <c r="DQ18" s="16">
        <v>2.9261909005865849</v>
      </c>
      <c r="DR18" s="47">
        <v>5.9397730810581792E-2</v>
      </c>
      <c r="DS18" s="16">
        <v>5.9397730810581549E-2</v>
      </c>
      <c r="DV18" s="16">
        <v>-53.647983690067576</v>
      </c>
      <c r="DW18" s="47">
        <v>1.7962494539085125</v>
      </c>
      <c r="DX18" s="47">
        <v>0.7258182003922774</v>
      </c>
      <c r="DY18" s="47">
        <v>0.78521593120285893</v>
      </c>
      <c r="DZ18" s="47">
        <v>1.0615785073995598</v>
      </c>
    </row>
    <row r="19" spans="1:130" x14ac:dyDescent="0.35">
      <c r="A19" s="13">
        <v>43405</v>
      </c>
      <c r="B19" s="47">
        <v>-91.969223357353087</v>
      </c>
      <c r="C19" s="47">
        <v>28.819999999999997</v>
      </c>
      <c r="D19" s="16">
        <v>5.1830999999999996</v>
      </c>
      <c r="E19" s="16">
        <v>35.460691666666669</v>
      </c>
      <c r="F19" s="47">
        <v>0.41489241097430252</v>
      </c>
      <c r="G19" s="16">
        <v>7.4615852023626209E-2</v>
      </c>
      <c r="H19" s="16">
        <v>0.51049173700207129</v>
      </c>
      <c r="I19" s="47">
        <v>-38.157332814166359</v>
      </c>
      <c r="J19" s="16">
        <v>-6.8623619607600848</v>
      </c>
      <c r="K19" s="16">
        <v>-46.949528582426645</v>
      </c>
      <c r="L19" s="47">
        <v>1.4563867486323039</v>
      </c>
      <c r="M19" s="16">
        <v>1.0327106035756335</v>
      </c>
      <c r="N19" s="16">
        <v>1.4166671100332413</v>
      </c>
      <c r="O19" s="47">
        <v>0.32398795330209434</v>
      </c>
      <c r="P19" s="16">
        <v>0.32398795330209418</v>
      </c>
      <c r="Q19" s="16">
        <v>0.32398795330209462</v>
      </c>
      <c r="R19" s="47">
        <v>1.8713994981028903</v>
      </c>
      <c r="S19" s="16">
        <v>1.8713994981028907</v>
      </c>
      <c r="T19" s="16">
        <v>1.8713994981028907</v>
      </c>
      <c r="V19" s="16">
        <v>-119.82799318087422</v>
      </c>
      <c r="W19" s="47">
        <v>80.501666666666679</v>
      </c>
      <c r="X19" s="16">
        <v>44.518499999999996</v>
      </c>
      <c r="Y19" s="16">
        <v>44.351499999999994</v>
      </c>
      <c r="Z19" s="47">
        <v>0.47529594678370063</v>
      </c>
      <c r="AA19" s="16">
        <v>0.26284502524034908</v>
      </c>
      <c r="AB19" s="16">
        <v>0.26185902797595029</v>
      </c>
      <c r="AC19" s="47">
        <v>-56.953759470094433</v>
      </c>
      <c r="AD19" s="16">
        <v>-31.496191892127261</v>
      </c>
      <c r="AE19" s="16">
        <v>-31.378041818652523</v>
      </c>
      <c r="AF19" s="47">
        <v>0.77823401689949112</v>
      </c>
      <c r="AG19" s="16">
        <v>0.55183866652872993</v>
      </c>
      <c r="AH19" s="16">
        <v>0.7570094528022322</v>
      </c>
      <c r="AI19" s="47">
        <v>-0.41345659032283733</v>
      </c>
      <c r="AJ19" s="16">
        <v>-0.41345659032283766</v>
      </c>
      <c r="AK19" s="16">
        <v>-0.41345659032283744</v>
      </c>
      <c r="AM19" s="16">
        <v>-344.41393932640824</v>
      </c>
      <c r="AN19" s="47">
        <v>34.599499999999999</v>
      </c>
      <c r="AO19" s="16">
        <v>1.8608333333333336</v>
      </c>
      <c r="AP19" s="16">
        <v>6.0455000000000005</v>
      </c>
      <c r="AQ19" s="16">
        <v>84.271499999999989</v>
      </c>
      <c r="AR19" s="16">
        <v>89.900750000000002</v>
      </c>
      <c r="AS19" s="47">
        <v>0.15968158600873725</v>
      </c>
      <c r="AT19" s="16">
        <v>8.5880090164479807E-3</v>
      </c>
      <c r="AU19" s="16">
        <v>2.7900837532791545E-2</v>
      </c>
      <c r="AV19" s="16">
        <v>0.38892489126534485</v>
      </c>
      <c r="AW19" s="16">
        <v>0.41490467617667842</v>
      </c>
      <c r="AX19" s="47">
        <v>-54.99656407515787</v>
      </c>
      <c r="AY19" s="16">
        <v>-2.9578300163255618</v>
      </c>
      <c r="AZ19" s="16">
        <v>-9.6094373651748413</v>
      </c>
      <c r="BA19" s="16">
        <v>-133.95115390279241</v>
      </c>
      <c r="BB19" s="16">
        <v>-142.89895396695758</v>
      </c>
      <c r="BC19" s="47">
        <v>1.2398248523424655</v>
      </c>
      <c r="BD19" s="16">
        <v>1.7484709456111696</v>
      </c>
      <c r="BE19" s="16">
        <v>1.7007853743672285</v>
      </c>
      <c r="BF19" s="16">
        <v>1.9392132305869332</v>
      </c>
      <c r="BG19" s="16">
        <v>1.7643661360258163</v>
      </c>
      <c r="BH19" s="47">
        <v>0.58951904146469936</v>
      </c>
      <c r="BI19" s="16">
        <v>0.58951904146469947</v>
      </c>
      <c r="BJ19" s="16">
        <v>0.58951904146469947</v>
      </c>
      <c r="BK19" s="16">
        <v>0.58951904146469936</v>
      </c>
      <c r="BL19" s="16">
        <v>0.58951904146469924</v>
      </c>
      <c r="BM19" s="47">
        <v>2.2467161646019194</v>
      </c>
      <c r="BN19" s="16">
        <v>2.2467161646019189</v>
      </c>
      <c r="BO19" s="16">
        <v>2.2467161646019189</v>
      </c>
      <c r="BP19" s="16">
        <v>2.2467161646019189</v>
      </c>
      <c r="BQ19" s="16">
        <v>2.246716164601918</v>
      </c>
      <c r="CU19" s="69"/>
      <c r="CV19" s="16"/>
      <c r="DB19" s="16">
        <v>-107.94822936489277</v>
      </c>
      <c r="DC19" s="52">
        <v>3.9469188067602472</v>
      </c>
      <c r="DD19" s="47">
        <v>2.5881080061456792</v>
      </c>
      <c r="DE19" s="47">
        <v>3.5881080061456792</v>
      </c>
      <c r="DF19" s="47">
        <v>5.0716349080767449</v>
      </c>
      <c r="DI19" s="16">
        <v>-48.789601099363146</v>
      </c>
      <c r="DJ19" s="47">
        <v>29</v>
      </c>
      <c r="DK19" s="16">
        <v>24.908333333333331</v>
      </c>
      <c r="DL19" s="47">
        <v>0.53795022414592675</v>
      </c>
      <c r="DM19" s="16">
        <v>0.46204977585407325</v>
      </c>
      <c r="DN19" s="47">
        <v>-26.24637684739276</v>
      </c>
      <c r="DO19" s="16">
        <v>-22.543224251970386</v>
      </c>
      <c r="DP19" s="47">
        <v>0.78739130542178282</v>
      </c>
      <c r="DQ19" s="16">
        <v>2.7603948063637205</v>
      </c>
      <c r="DR19" s="47">
        <v>0.10491441042007199</v>
      </c>
      <c r="DS19" s="16">
        <v>0.1049144104200723</v>
      </c>
      <c r="DV19" s="16">
        <v>-53.466358703799443</v>
      </c>
      <c r="DW19" s="47">
        <v>1.7901682601718565</v>
      </c>
      <c r="DX19" s="47">
        <v>0.70375046181815293</v>
      </c>
      <c r="DY19" s="47">
        <v>0.80866487223822525</v>
      </c>
      <c r="DZ19" s="47">
        <v>1.0855067714451221</v>
      </c>
    </row>
    <row r="20" spans="1:130" x14ac:dyDescent="0.35">
      <c r="A20" s="13">
        <v>43435</v>
      </c>
      <c r="B20" s="47">
        <v>-81.618161872450841</v>
      </c>
      <c r="C20" s="47">
        <v>28.558000000000003</v>
      </c>
      <c r="D20" s="16">
        <v>4.7179499999999992</v>
      </c>
      <c r="E20" s="16">
        <v>34.797874999999998</v>
      </c>
      <c r="F20" s="47">
        <v>0.41951513669167267</v>
      </c>
      <c r="G20" s="16">
        <v>6.9306374366358864E-2</v>
      </c>
      <c r="H20" s="16">
        <v>0.51117848894196849</v>
      </c>
      <c r="I20" s="47">
        <v>-34.240054334444281</v>
      </c>
      <c r="J20" s="16">
        <v>-5.6566588818261554</v>
      </c>
      <c r="K20" s="16">
        <v>-41.721448656180407</v>
      </c>
      <c r="L20" s="47">
        <v>1.3068723028413849</v>
      </c>
      <c r="M20" s="16">
        <v>0.85126544497007606</v>
      </c>
      <c r="N20" s="16">
        <v>1.2589136862233521</v>
      </c>
      <c r="O20" s="47">
        <v>0.19896541545081173</v>
      </c>
      <c r="P20" s="16">
        <v>0.19896541545081139</v>
      </c>
      <c r="Q20" s="16">
        <v>0.19896541545081148</v>
      </c>
      <c r="R20" s="47">
        <v>1.7507612058554234</v>
      </c>
      <c r="S20" s="16">
        <v>1.7507612058554229</v>
      </c>
      <c r="T20" s="16">
        <v>1.7507612058554232</v>
      </c>
      <c r="V20" s="16">
        <v>-112.18504172452313</v>
      </c>
      <c r="W20" s="47">
        <v>79.769833333333352</v>
      </c>
      <c r="X20" s="16">
        <v>40.523249999999997</v>
      </c>
      <c r="Y20" s="16">
        <v>43.522500000000001</v>
      </c>
      <c r="Z20" s="47">
        <v>0.48694899294786265</v>
      </c>
      <c r="AA20" s="16">
        <v>0.24737115465714235</v>
      </c>
      <c r="AB20" s="16">
        <v>0.26567985239499492</v>
      </c>
      <c r="AC20" s="47">
        <v>-54.628393091570494</v>
      </c>
      <c r="AD20" s="16">
        <v>-27.751343306654981</v>
      </c>
      <c r="AE20" s="16">
        <v>-29.805305326297653</v>
      </c>
      <c r="AF20" s="47">
        <v>0.7464594820073398</v>
      </c>
      <c r="AG20" s="16">
        <v>0.48622590112404696</v>
      </c>
      <c r="AH20" s="16">
        <v>0.71906647349330888</v>
      </c>
      <c r="AI20" s="47">
        <v>-0.4602266114549568</v>
      </c>
      <c r="AJ20" s="16">
        <v>-0.4602266114549568</v>
      </c>
      <c r="AK20" s="16">
        <v>-0.46022661145495697</v>
      </c>
      <c r="AM20" s="16">
        <v>-305.52739996030493</v>
      </c>
      <c r="AN20" s="47">
        <v>31.494416666666663</v>
      </c>
      <c r="AO20" s="16">
        <v>1.8439166666666669</v>
      </c>
      <c r="AP20" s="16">
        <v>5.9325000000000001</v>
      </c>
      <c r="AQ20" s="16">
        <v>77.364000000000004</v>
      </c>
      <c r="AR20" s="16">
        <v>88.28091666666667</v>
      </c>
      <c r="AS20" s="47">
        <v>0.15369446548967886</v>
      </c>
      <c r="AT20" s="16">
        <v>8.9984135756605663E-3</v>
      </c>
      <c r="AU20" s="16">
        <v>2.8950922513276797E-2</v>
      </c>
      <c r="AV20" s="16">
        <v>0.37754052580145747</v>
      </c>
      <c r="AW20" s="16">
        <v>0.43081567261992632</v>
      </c>
      <c r="AX20" s="47">
        <v>-46.957870429350393</v>
      </c>
      <c r="AY20" s="16">
        <v>-2.7492619035390833</v>
      </c>
      <c r="AZ20" s="16">
        <v>-8.8453000819337166</v>
      </c>
      <c r="BA20" s="16">
        <v>-115.34897522776572</v>
      </c>
      <c r="BB20" s="16">
        <v>-131.62599231771603</v>
      </c>
      <c r="BC20" s="47">
        <v>1.0586031282213129</v>
      </c>
      <c r="BD20" s="16">
        <v>1.6251794503679309</v>
      </c>
      <c r="BE20" s="16">
        <v>1.5655398375103924</v>
      </c>
      <c r="BF20" s="16">
        <v>1.6699091600110854</v>
      </c>
      <c r="BG20" s="16">
        <v>1.6251794503679311</v>
      </c>
      <c r="BH20" s="47">
        <v>0.49099032143846888</v>
      </c>
      <c r="BI20" s="16">
        <v>0.4909903214384686</v>
      </c>
      <c r="BJ20" s="16">
        <v>0.49099032143846888</v>
      </c>
      <c r="BK20" s="16">
        <v>0.49099032143846894</v>
      </c>
      <c r="BL20" s="16">
        <v>0.49099032143846877</v>
      </c>
      <c r="BM20" s="47">
        <v>2.1771837447862326</v>
      </c>
      <c r="BN20" s="16">
        <v>2.1771837447862321</v>
      </c>
      <c r="BO20" s="16">
        <v>2.1771837447862321</v>
      </c>
      <c r="BP20" s="16">
        <v>2.1771837447862326</v>
      </c>
      <c r="BQ20" s="16">
        <v>2.1771837447862321</v>
      </c>
      <c r="CU20" s="69"/>
      <c r="CV20" s="16"/>
      <c r="DB20" s="16">
        <v>-107.9395859058199</v>
      </c>
      <c r="DC20" s="52">
        <v>3.9466027753499047</v>
      </c>
      <c r="DD20" s="47">
        <v>2.6207364911467015</v>
      </c>
      <c r="DE20" s="47">
        <v>3.6207364911467015</v>
      </c>
      <c r="DF20" s="47">
        <v>5.2870957774384584</v>
      </c>
      <c r="DI20" s="16">
        <v>-47.678169349986241</v>
      </c>
      <c r="DJ20" s="47">
        <v>29.666666666666668</v>
      </c>
      <c r="DK20" s="16">
        <v>24.99</v>
      </c>
      <c r="DL20" s="47">
        <v>0.54278221625907186</v>
      </c>
      <c r="DM20" s="16">
        <v>0.4572177837409282</v>
      </c>
      <c r="DN20" s="47">
        <v>-25.878862426960882</v>
      </c>
      <c r="DO20" s="16">
        <v>-21.799306923025359</v>
      </c>
      <c r="DP20" s="47">
        <v>0.77636587280882641</v>
      </c>
      <c r="DQ20" s="16">
        <v>2.6693028885337173</v>
      </c>
      <c r="DR20" s="47">
        <v>0.14636672111829813</v>
      </c>
      <c r="DS20" s="16">
        <v>0.14636672111829832</v>
      </c>
      <c r="DV20" s="16">
        <v>-53.39078990227955</v>
      </c>
      <c r="DW20" s="47">
        <v>1.7876380547638244</v>
      </c>
      <c r="DX20" s="47">
        <v>0.71175590710071057</v>
      </c>
      <c r="DY20" s="47">
        <v>0.85812262821900887</v>
      </c>
      <c r="DZ20" s="47">
        <v>1.0982200156397486</v>
      </c>
    </row>
    <row r="21" spans="1:130" x14ac:dyDescent="0.35">
      <c r="A21" s="13">
        <v>43466</v>
      </c>
      <c r="B21" s="47">
        <v>-84.954403550968948</v>
      </c>
      <c r="C21" s="47">
        <v>28.558000000000003</v>
      </c>
      <c r="D21" s="16">
        <v>4.3856999999999999</v>
      </c>
      <c r="E21" s="16">
        <v>33.803649999999998</v>
      </c>
      <c r="F21" s="47">
        <v>0.42785219188477142</v>
      </c>
      <c r="G21" s="16">
        <v>6.5705979338505555E-2</v>
      </c>
      <c r="H21" s="16">
        <v>0.50644182877672284</v>
      </c>
      <c r="I21" s="47">
        <v>-36.347927769545471</v>
      </c>
      <c r="J21" s="16">
        <v>-5.5820122844350282</v>
      </c>
      <c r="K21" s="16">
        <v>-43.024463496988432</v>
      </c>
      <c r="L21" s="47">
        <v>1.3873254873872318</v>
      </c>
      <c r="M21" s="16">
        <v>0.84003194649135127</v>
      </c>
      <c r="N21" s="16">
        <v>1.2982311900320882</v>
      </c>
      <c r="O21" s="47">
        <v>0.27277567650204743</v>
      </c>
      <c r="P21" s="16">
        <v>0.27277567650204732</v>
      </c>
      <c r="Q21" s="16">
        <v>0.27277567650204726</v>
      </c>
      <c r="R21" s="47">
        <v>1.8558278112899251</v>
      </c>
      <c r="S21" s="16">
        <v>1.8558278112899256</v>
      </c>
      <c r="T21" s="16">
        <v>1.8558278112899242</v>
      </c>
      <c r="V21" s="16">
        <v>-109.53904695329234</v>
      </c>
      <c r="W21" s="47">
        <v>79.769833333333352</v>
      </c>
      <c r="X21" s="16">
        <v>37.669499999999999</v>
      </c>
      <c r="Y21" s="16">
        <v>42.279000000000003</v>
      </c>
      <c r="Z21" s="47">
        <v>0.49944068203399739</v>
      </c>
      <c r="AA21" s="16">
        <v>0.23584956851123326</v>
      </c>
      <c r="AB21" s="16">
        <v>0.26470974945476933</v>
      </c>
      <c r="AC21" s="47">
        <v>-54.708256319706393</v>
      </c>
      <c r="AD21" s="16">
        <v>-25.834736959065719</v>
      </c>
      <c r="AE21" s="16">
        <v>-28.99605367452023</v>
      </c>
      <c r="AF21" s="47">
        <v>0.74755075818318906</v>
      </c>
      <c r="AG21" s="16">
        <v>0.45264541321183915</v>
      </c>
      <c r="AH21" s="16">
        <v>0.699542911327388</v>
      </c>
      <c r="AI21" s="47">
        <v>-0.4580949695631143</v>
      </c>
      <c r="AJ21" s="16">
        <v>-0.45809496956311457</v>
      </c>
      <c r="AK21" s="16">
        <v>-0.45809496956311407</v>
      </c>
      <c r="AM21" s="16">
        <v>-319.94815157275394</v>
      </c>
      <c r="AN21" s="47">
        <v>29.276499999999999</v>
      </c>
      <c r="AO21" s="16">
        <v>1.8439166666666669</v>
      </c>
      <c r="AP21" s="16">
        <v>5.762999999999999</v>
      </c>
      <c r="AQ21" s="16">
        <v>71.838000000000008</v>
      </c>
      <c r="AR21" s="16">
        <v>89.09083333333335</v>
      </c>
      <c r="AS21" s="47">
        <v>0.14800145087071198</v>
      </c>
      <c r="AT21" s="16">
        <v>9.3215494321846441E-3</v>
      </c>
      <c r="AU21" s="16">
        <v>2.9133686108923987E-2</v>
      </c>
      <c r="AV21" s="16">
        <v>0.36316254428125661</v>
      </c>
      <c r="AW21" s="16">
        <v>0.45038076930692283</v>
      </c>
      <c r="AX21" s="47">
        <v>-47.352790636170056</v>
      </c>
      <c r="AY21" s="16">
        <v>-2.9824125106215309</v>
      </c>
      <c r="AZ21" s="16">
        <v>-9.3212690190510479</v>
      </c>
      <c r="BA21" s="16">
        <v>-116.19318476324645</v>
      </c>
      <c r="BB21" s="16">
        <v>-144.09849464366488</v>
      </c>
      <c r="BC21" s="47">
        <v>1.0675060823483764</v>
      </c>
      <c r="BD21" s="16">
        <v>1.7630024693329245</v>
      </c>
      <c r="BE21" s="16">
        <v>1.6497821272656723</v>
      </c>
      <c r="BF21" s="16">
        <v>1.6821307964277445</v>
      </c>
      <c r="BG21" s="16">
        <v>1.7791768039139608</v>
      </c>
      <c r="BH21" s="47">
        <v>0.61743345810360051</v>
      </c>
      <c r="BI21" s="16">
        <v>0.61743345810360029</v>
      </c>
      <c r="BJ21" s="16">
        <v>0.61743345810360029</v>
      </c>
      <c r="BK21" s="16">
        <v>0.61743345810360051</v>
      </c>
      <c r="BL21" s="16">
        <v>0.61743345810360062</v>
      </c>
      <c r="BM21" s="47">
        <v>2.3583715888639327</v>
      </c>
      <c r="BN21" s="16">
        <v>2.3583715888639318</v>
      </c>
      <c r="BO21" s="16">
        <v>2.3583715888639314</v>
      </c>
      <c r="BP21" s="16">
        <v>2.3583715888639318</v>
      </c>
      <c r="BQ21" s="16">
        <v>2.3583715888639323</v>
      </c>
      <c r="CU21" s="16">
        <v>-76.290633230552487</v>
      </c>
      <c r="CV21" s="47">
        <v>13.443333333333335</v>
      </c>
      <c r="CW21" s="47">
        <v>2.2699915664930073</v>
      </c>
      <c r="CX21" s="47">
        <v>4.6749789162325177</v>
      </c>
      <c r="CY21" s="47">
        <v>6.6374257021068219</v>
      </c>
      <c r="DB21" s="16">
        <v>-107.91931848454556</v>
      </c>
      <c r="DC21" s="52">
        <v>3.9458617361808246</v>
      </c>
      <c r="DD21" s="47">
        <v>2.6200566386980042</v>
      </c>
      <c r="DE21" s="47">
        <v>3.6200566386980042</v>
      </c>
      <c r="DF21" s="47">
        <v>5.2783863744191164</v>
      </c>
      <c r="DI21" s="16">
        <v>-46.51611058179212</v>
      </c>
      <c r="DJ21" s="47">
        <v>29.333333333333332</v>
      </c>
      <c r="DK21" s="16">
        <v>25.071666666666662</v>
      </c>
      <c r="DL21" s="47">
        <v>0.53916613056398011</v>
      </c>
      <c r="DM21" s="16">
        <v>0.46083386943601995</v>
      </c>
      <c r="DN21" s="47">
        <v>-25.079911351271068</v>
      </c>
      <c r="DO21" s="16">
        <v>-21.436199230521055</v>
      </c>
      <c r="DP21" s="47">
        <v>0.75239734053813201</v>
      </c>
      <c r="DQ21" s="16">
        <v>2.6248407221046191</v>
      </c>
      <c r="DR21" s="47">
        <v>0.16959477736936659</v>
      </c>
      <c r="DS21" s="16">
        <v>0.16959477736936676</v>
      </c>
      <c r="DV21" s="16">
        <v>-53.102217259938236</v>
      </c>
      <c r="DW21" s="47">
        <v>1.7779760243282894</v>
      </c>
      <c r="DX21" s="47">
        <v>0.72668245127761544</v>
      </c>
      <c r="DY21" s="47">
        <v>0.89627722864698223</v>
      </c>
      <c r="DZ21" s="47">
        <v>1.0876227157808975</v>
      </c>
    </row>
    <row r="22" spans="1:130" x14ac:dyDescent="0.35">
      <c r="A22" s="13">
        <v>43497</v>
      </c>
      <c r="B22" s="47">
        <v>-84.170920176226446</v>
      </c>
      <c r="C22" s="47">
        <v>28.034000000000002</v>
      </c>
      <c r="D22" s="16">
        <v>4.3856999999999999</v>
      </c>
      <c r="E22" s="16">
        <v>33.472241666666669</v>
      </c>
      <c r="F22" s="47">
        <v>0.42545414948944821</v>
      </c>
      <c r="G22" s="16">
        <v>6.655897351130316E-2</v>
      </c>
      <c r="H22" s="16">
        <v>0.50798687699924872</v>
      </c>
      <c r="I22" s="47">
        <v>-35.810867255320659</v>
      </c>
      <c r="J22" s="16">
        <v>-5.6023300464314687</v>
      </c>
      <c r="K22" s="16">
        <v>-42.757722874474325</v>
      </c>
      <c r="L22" s="47">
        <v>1.3668269944778879</v>
      </c>
      <c r="M22" s="16">
        <v>0.84308954799570635</v>
      </c>
      <c r="N22" s="16">
        <v>1.2901824901146419</v>
      </c>
      <c r="O22" s="47">
        <v>0.27740840605410078</v>
      </c>
      <c r="P22" s="16">
        <v>0.27740840605410044</v>
      </c>
      <c r="Q22" s="16">
        <v>0.27740840605410089</v>
      </c>
      <c r="R22" s="47">
        <v>1.7706595478405029</v>
      </c>
      <c r="S22" s="16">
        <v>1.7706595478405021</v>
      </c>
      <c r="T22" s="16">
        <v>1.7706595478405032</v>
      </c>
      <c r="V22" s="16">
        <v>-113.87076412226386</v>
      </c>
      <c r="W22" s="47">
        <v>78.30616666666667</v>
      </c>
      <c r="X22" s="16">
        <v>37.669499999999999</v>
      </c>
      <c r="Y22" s="16">
        <v>41.8645</v>
      </c>
      <c r="Z22" s="47">
        <v>0.49611051686252233</v>
      </c>
      <c r="AA22" s="16">
        <v>0.23865598215916733</v>
      </c>
      <c r="AB22" s="16">
        <v>0.26523350097831033</v>
      </c>
      <c r="AC22" s="47">
        <v>-56.492483644226688</v>
      </c>
      <c r="AD22" s="16">
        <v>-27.175939050813756</v>
      </c>
      <c r="AE22" s="16">
        <v>-30.202341427223416</v>
      </c>
      <c r="AF22" s="47">
        <v>0.77193099946563448</v>
      </c>
      <c r="AG22" s="16">
        <v>0.47614435481057837</v>
      </c>
      <c r="AH22" s="16">
        <v>0.72864514902830924</v>
      </c>
      <c r="AI22" s="47">
        <v>-0.38613425389147787</v>
      </c>
      <c r="AJ22" s="16">
        <v>-0.3861342538914776</v>
      </c>
      <c r="AK22" s="16">
        <v>-0.38613425389147771</v>
      </c>
      <c r="AM22" s="16">
        <v>-320.09882506193094</v>
      </c>
      <c r="AN22" s="47">
        <v>29.276499999999999</v>
      </c>
      <c r="AO22" s="16">
        <v>1.8100833333333337</v>
      </c>
      <c r="AP22" s="16">
        <v>5.7064999999999992</v>
      </c>
      <c r="AQ22" s="16">
        <v>67.6935</v>
      </c>
      <c r="AR22" s="16">
        <v>86.661083333333337</v>
      </c>
      <c r="AS22" s="47">
        <v>0.15316169174617178</v>
      </c>
      <c r="AT22" s="16">
        <v>9.4695549514075515E-3</v>
      </c>
      <c r="AU22" s="16">
        <v>2.9853882600363063E-2</v>
      </c>
      <c r="AV22" s="16">
        <v>0.35414243438319065</v>
      </c>
      <c r="AW22" s="16">
        <v>0.45337243631886692</v>
      </c>
      <c r="AX22" s="47">
        <v>-49.026877572447233</v>
      </c>
      <c r="AY22" s="16">
        <v>-3.0311934138049477</v>
      </c>
      <c r="AZ22" s="16">
        <v>-9.5561927439130407</v>
      </c>
      <c r="BA22" s="16">
        <v>-113.3605771506313</v>
      </c>
      <c r="BB22" s="16">
        <v>-145.1239841811344</v>
      </c>
      <c r="BC22" s="47">
        <v>1.1052461598147039</v>
      </c>
      <c r="BD22" s="16">
        <v>1.7918384712147475</v>
      </c>
      <c r="BE22" s="16">
        <v>1.6913615475952286</v>
      </c>
      <c r="BF22" s="16">
        <v>1.6411230857854693</v>
      </c>
      <c r="BG22" s="16">
        <v>1.7918384712147475</v>
      </c>
      <c r="BH22" s="47">
        <v>0.67461539365864209</v>
      </c>
      <c r="BI22" s="16">
        <v>0.67461539365864243</v>
      </c>
      <c r="BJ22" s="16">
        <v>0.6746153936586422</v>
      </c>
      <c r="BK22" s="16">
        <v>0.6746153936586422</v>
      </c>
      <c r="BL22" s="16">
        <v>0.67461539365864243</v>
      </c>
      <c r="BM22" s="47">
        <v>2.3212417592442049</v>
      </c>
      <c r="BN22" s="16">
        <v>2.3212417592442058</v>
      </c>
      <c r="BO22" s="16">
        <v>2.3212417592442054</v>
      </c>
      <c r="BP22" s="16">
        <v>2.3212417592442049</v>
      </c>
      <c r="BQ22" s="16">
        <v>2.3212417592442058</v>
      </c>
      <c r="CU22" s="16">
        <v>-73.249680100792517</v>
      </c>
      <c r="CV22" s="47">
        <v>13.443333333333335</v>
      </c>
      <c r="CW22" s="47">
        <v>2.1795094500607739</v>
      </c>
      <c r="CX22" s="47">
        <v>4.4487736251519348</v>
      </c>
      <c r="CY22" s="47">
        <v>6.2860820651763838</v>
      </c>
      <c r="DB22" s="16">
        <v>-107.88086999418688</v>
      </c>
      <c r="DC22" s="52">
        <v>3.9444559412865403</v>
      </c>
      <c r="DD22" s="47">
        <v>2.6864074217631218</v>
      </c>
      <c r="DE22" s="47">
        <v>3.6864074217631218</v>
      </c>
      <c r="DF22" s="47">
        <v>5.1098556011056306</v>
      </c>
      <c r="DI22" s="16">
        <v>-46.368001684678767</v>
      </c>
      <c r="DJ22" s="47">
        <v>28.666666666666668</v>
      </c>
      <c r="DK22" s="16">
        <v>24.826666666666668</v>
      </c>
      <c r="DL22" s="47">
        <v>0.53589232303090728</v>
      </c>
      <c r="DM22" s="16">
        <v>0.46410767696909272</v>
      </c>
      <c r="DN22" s="47">
        <v>-24.848256137103526</v>
      </c>
      <c r="DO22" s="16">
        <v>-21.519745547575241</v>
      </c>
      <c r="DP22" s="47">
        <v>0.74544768411310569</v>
      </c>
      <c r="DQ22" s="16">
        <v>2.6350708833765601</v>
      </c>
      <c r="DR22" s="47">
        <v>0.15366915523144001</v>
      </c>
      <c r="DS22" s="16">
        <v>0.15366915523143981</v>
      </c>
      <c r="DV22" s="16">
        <v>-51.771451855596574</v>
      </c>
      <c r="DW22" s="47">
        <v>1.7334191469507783</v>
      </c>
      <c r="DX22" s="47">
        <v>0.75375932898145326</v>
      </c>
      <c r="DY22" s="47">
        <v>0.90742848421289302</v>
      </c>
      <c r="DZ22" s="47">
        <v>1.1006381132836884</v>
      </c>
    </row>
    <row r="23" spans="1:130" x14ac:dyDescent="0.35">
      <c r="A23" s="13">
        <v>43525</v>
      </c>
      <c r="B23" s="47">
        <v>-81.749679835994613</v>
      </c>
      <c r="C23" s="47">
        <v>28.296000000000003</v>
      </c>
      <c r="D23" s="16">
        <v>4.6514999999999995</v>
      </c>
      <c r="E23" s="16">
        <v>34.135058333333333</v>
      </c>
      <c r="F23" s="47">
        <v>0.42180859977637009</v>
      </c>
      <c r="G23" s="16">
        <v>6.9339931504798738E-2</v>
      </c>
      <c r="H23" s="16">
        <v>0.50885146871883113</v>
      </c>
      <c r="I23" s="47">
        <v>-34.482717983787445</v>
      </c>
      <c r="J23" s="16">
        <v>-5.6685172003670932</v>
      </c>
      <c r="K23" s="16">
        <v>-41.598444651840076</v>
      </c>
      <c r="L23" s="47">
        <v>1.3161342741903606</v>
      </c>
      <c r="M23" s="16">
        <v>0.85304999253078906</v>
      </c>
      <c r="N23" s="16">
        <v>1.2552021318667326</v>
      </c>
      <c r="O23" s="47">
        <v>0.218642846472556</v>
      </c>
      <c r="P23" s="16">
        <v>0.21864284647255589</v>
      </c>
      <c r="Q23" s="16">
        <v>0.21864284647255586</v>
      </c>
      <c r="R23" s="47">
        <v>1.6635744945905522</v>
      </c>
      <c r="S23" s="16">
        <v>1.6635744945905522</v>
      </c>
      <c r="T23" s="16">
        <v>1.6635744945905522</v>
      </c>
      <c r="V23" s="16">
        <v>-118.44077354501883</v>
      </c>
      <c r="W23" s="47">
        <v>79.038000000000011</v>
      </c>
      <c r="X23" s="16">
        <v>39.952499999999993</v>
      </c>
      <c r="Y23" s="16">
        <v>42.6935</v>
      </c>
      <c r="Z23" s="47">
        <v>0.48884243338858524</v>
      </c>
      <c r="AA23" s="16">
        <v>0.24710237252913086</v>
      </c>
      <c r="AB23" s="16">
        <v>0.26405519408228395</v>
      </c>
      <c r="AC23" s="47">
        <v>-57.898875952173377</v>
      </c>
      <c r="AD23" s="16">
        <v>-29.26699614715967</v>
      </c>
      <c r="AE23" s="16">
        <v>-31.274901445685789</v>
      </c>
      <c r="AF23" s="47">
        <v>0.79114838468011894</v>
      </c>
      <c r="AG23" s="16">
        <v>0.51278136044081768</v>
      </c>
      <c r="AH23" s="16">
        <v>0.75452114464863185</v>
      </c>
      <c r="AI23" s="47">
        <v>-0.3651042218036899</v>
      </c>
      <c r="AJ23" s="16">
        <v>-0.36510422180369012</v>
      </c>
      <c r="AK23" s="16">
        <v>-0.36510422180369007</v>
      </c>
      <c r="AM23" s="16">
        <v>-312.86246864853712</v>
      </c>
      <c r="AN23" s="47">
        <v>31.05083333333333</v>
      </c>
      <c r="AO23" s="16">
        <v>1.8270000000000002</v>
      </c>
      <c r="AP23" s="16">
        <v>5.8195000000000006</v>
      </c>
      <c r="AQ23" s="16">
        <v>67.002749999999992</v>
      </c>
      <c r="AR23" s="16">
        <v>85.851166666666657</v>
      </c>
      <c r="AS23" s="47">
        <v>0.16210196139849431</v>
      </c>
      <c r="AT23" s="16">
        <v>9.5379173980853701E-3</v>
      </c>
      <c r="AU23" s="16">
        <v>3.0380903283063938E-2</v>
      </c>
      <c r="AV23" s="16">
        <v>0.34979019975071945</v>
      </c>
      <c r="AW23" s="16">
        <v>0.44818901816963691</v>
      </c>
      <c r="AX23" s="47">
        <v>-50.715619815902798</v>
      </c>
      <c r="AY23" s="16">
        <v>-2.9840563829308207</v>
      </c>
      <c r="AZ23" s="16">
        <v>-9.5050444009118298</v>
      </c>
      <c r="BA23" s="16">
        <v>-109.436225403075</v>
      </c>
      <c r="BB23" s="16">
        <v>-140.22152264571665</v>
      </c>
      <c r="BC23" s="47">
        <v>1.143316621812575</v>
      </c>
      <c r="BD23" s="16">
        <v>1.7639742165108299</v>
      </c>
      <c r="BE23" s="16">
        <v>1.6823087435242179</v>
      </c>
      <c r="BF23" s="16">
        <v>1.5843101759402825</v>
      </c>
      <c r="BG23" s="16">
        <v>1.7313080273161847</v>
      </c>
      <c r="BH23" s="47">
        <v>0.63330945973225006</v>
      </c>
      <c r="BI23" s="16">
        <v>0.63330945973224972</v>
      </c>
      <c r="BJ23" s="16">
        <v>0.63330945973225028</v>
      </c>
      <c r="BK23" s="16">
        <v>0.63330945973224995</v>
      </c>
      <c r="BL23" s="16">
        <v>0.63330945973224961</v>
      </c>
      <c r="BM23" s="47">
        <v>2.2296376389923989</v>
      </c>
      <c r="BN23" s="16">
        <v>2.229637638992398</v>
      </c>
      <c r="BO23" s="16">
        <v>2.2296376389923993</v>
      </c>
      <c r="BP23" s="16">
        <v>2.2296376389923984</v>
      </c>
      <c r="BQ23" s="16">
        <v>2.229637638992398</v>
      </c>
      <c r="CU23" s="16">
        <v>-71.293097854512851</v>
      </c>
      <c r="CV23" s="47">
        <v>13.107250000000001</v>
      </c>
      <c r="CW23" s="47">
        <v>2.1212922743718181</v>
      </c>
      <c r="CX23" s="47">
        <v>4.4392109599277383</v>
      </c>
      <c r="CY23" s="47">
        <v>6.4369543379970091</v>
      </c>
      <c r="DB23" s="16">
        <v>-107.85613181821967</v>
      </c>
      <c r="DC23" s="52">
        <v>3.943551437594869</v>
      </c>
      <c r="DD23" s="47">
        <v>2.651436516291545</v>
      </c>
      <c r="DE23" s="47">
        <v>3.651436516291545</v>
      </c>
      <c r="DF23" s="47">
        <v>4.9845914040377464</v>
      </c>
      <c r="DI23" s="16">
        <v>-45.403129318990835</v>
      </c>
      <c r="DJ23" s="47">
        <v>28.333333333333332</v>
      </c>
      <c r="DK23" s="16">
        <v>25.39833333333333</v>
      </c>
      <c r="DL23" s="47">
        <v>0.52731164117993734</v>
      </c>
      <c r="DM23" s="16">
        <v>0.47268835882006266</v>
      </c>
      <c r="DN23" s="47">
        <v>-23.94159863590199</v>
      </c>
      <c r="DO23" s="16">
        <v>-21.461530683088846</v>
      </c>
      <c r="DP23" s="47">
        <v>0.71824795907705963</v>
      </c>
      <c r="DQ23" s="16">
        <v>2.6279425326231238</v>
      </c>
      <c r="DR23" s="47">
        <v>0.18343531541981714</v>
      </c>
      <c r="DS23" s="16">
        <v>0.18343531541981722</v>
      </c>
      <c r="DV23" s="16">
        <v>-50.959678494838393</v>
      </c>
      <c r="DW23" s="47">
        <v>1.7062392353182498</v>
      </c>
      <c r="DX23" s="47">
        <v>0.82272212221161289</v>
      </c>
      <c r="DY23" s="47">
        <v>1.0061574376314302</v>
      </c>
      <c r="DZ23" s="47">
        <v>1.1126957817421173</v>
      </c>
    </row>
    <row r="24" spans="1:130" x14ac:dyDescent="0.35">
      <c r="A24" s="13">
        <v>43556</v>
      </c>
      <c r="B24" s="47">
        <v>-81.591768458139526</v>
      </c>
      <c r="C24" s="47">
        <v>28.296000000000003</v>
      </c>
      <c r="D24" s="16">
        <v>4.7179499999999992</v>
      </c>
      <c r="E24" s="16">
        <v>34.135058333333333</v>
      </c>
      <c r="F24" s="47">
        <v>0.42139118212343912</v>
      </c>
      <c r="G24" s="16">
        <v>7.0260903579985837E-2</v>
      </c>
      <c r="H24" s="16">
        <v>0.50834791429657489</v>
      </c>
      <c r="I24" s="47">
        <v>-34.382051762117349</v>
      </c>
      <c r="J24" s="16">
        <v>-5.7327113765578712</v>
      </c>
      <c r="K24" s="16">
        <v>-41.477005319464297</v>
      </c>
      <c r="L24" s="47">
        <v>1.3122920519892118</v>
      </c>
      <c r="M24" s="16">
        <v>0.86271051565957435</v>
      </c>
      <c r="N24" s="16">
        <v>1.2515377903230447</v>
      </c>
      <c r="O24" s="47">
        <v>0.21508523332334423</v>
      </c>
      <c r="P24" s="16">
        <v>0.21508523332334423</v>
      </c>
      <c r="Q24" s="16">
        <v>0.21508523332334431</v>
      </c>
      <c r="R24" s="47">
        <v>1.5988942775126502</v>
      </c>
      <c r="S24" s="16">
        <v>1.59889427751265</v>
      </c>
      <c r="T24" s="16">
        <v>1.5988942775126498</v>
      </c>
      <c r="V24" s="16">
        <v>-123.30605815180988</v>
      </c>
      <c r="W24" s="47">
        <v>79.038000000000011</v>
      </c>
      <c r="X24" s="16">
        <v>40.523249999999997</v>
      </c>
      <c r="Y24" s="16">
        <v>42.6935</v>
      </c>
      <c r="Z24" s="47">
        <v>0.48712287313622565</v>
      </c>
      <c r="AA24" s="16">
        <v>0.24975077771220872</v>
      </c>
      <c r="AB24" s="16">
        <v>0.26312634915156569</v>
      </c>
      <c r="AC24" s="47">
        <v>-60.065201322012143</v>
      </c>
      <c r="AD24" s="16">
        <v>-30.795783920041352</v>
      </c>
      <c r="AE24" s="16">
        <v>-32.445072909756391</v>
      </c>
      <c r="AF24" s="47">
        <v>0.82074973339119306</v>
      </c>
      <c r="AG24" s="16">
        <v>0.53956695435902502</v>
      </c>
      <c r="AH24" s="16">
        <v>0.78275206054900837</v>
      </c>
      <c r="AI24" s="47">
        <v>-0.31587005887608477</v>
      </c>
      <c r="AJ24" s="16">
        <v>-0.31587005887608471</v>
      </c>
      <c r="AK24" s="16">
        <v>-0.31587005887608444</v>
      </c>
      <c r="AM24" s="16">
        <v>-312.89283694868135</v>
      </c>
      <c r="AN24" s="47">
        <v>31.494416666666663</v>
      </c>
      <c r="AO24" s="16">
        <v>1.8270000000000002</v>
      </c>
      <c r="AP24" s="16">
        <v>5.8195000000000006</v>
      </c>
      <c r="AQ24" s="16">
        <v>67.002749999999992</v>
      </c>
      <c r="AR24" s="16">
        <v>82.611499999999992</v>
      </c>
      <c r="AS24" s="47">
        <v>0.16685326935863123</v>
      </c>
      <c r="AT24" s="16">
        <v>9.6792052491278414E-3</v>
      </c>
      <c r="AU24" s="16">
        <v>3.0830944141926366E-2</v>
      </c>
      <c r="AV24" s="16">
        <v>0.35497174028790385</v>
      </c>
      <c r="AW24" s="16">
        <v>0.43766484096241076</v>
      </c>
      <c r="AX24" s="47">
        <v>-52.207192803784615</v>
      </c>
      <c r="AY24" s="16">
        <v>-3.0285539898081781</v>
      </c>
      <c r="AZ24" s="16">
        <v>-9.6467815783736679</v>
      </c>
      <c r="BA24" s="16">
        <v>-111.06811485529276</v>
      </c>
      <c r="BB24" s="16">
        <v>-136.94219372142214</v>
      </c>
      <c r="BC24" s="47">
        <v>1.1769421635269874</v>
      </c>
      <c r="BD24" s="16">
        <v>1.7902782205762628</v>
      </c>
      <c r="BE24" s="16">
        <v>1.7073949696236581</v>
      </c>
      <c r="BF24" s="16">
        <v>1.6079350684805322</v>
      </c>
      <c r="BG24" s="16">
        <v>1.6908183194331368</v>
      </c>
      <c r="BH24" s="47">
        <v>0.65766501905209507</v>
      </c>
      <c r="BI24" s="16">
        <v>0.65766501905209507</v>
      </c>
      <c r="BJ24" s="16">
        <v>0.65766501905209518</v>
      </c>
      <c r="BK24" s="16">
        <v>0.65766501905209518</v>
      </c>
      <c r="BL24" s="16">
        <v>0.65766501905209485</v>
      </c>
      <c r="BM24" s="47">
        <v>2.1812717662169065</v>
      </c>
      <c r="BN24" s="16">
        <v>2.1812717662169065</v>
      </c>
      <c r="BO24" s="16">
        <v>2.1812717662169057</v>
      </c>
      <c r="BP24" s="16">
        <v>2.1812717662169065</v>
      </c>
      <c r="BQ24" s="16">
        <v>2.1812717662169065</v>
      </c>
      <c r="CU24" s="16">
        <v>-70.680192572545721</v>
      </c>
      <c r="CV24" s="47">
        <v>13.107250000000001</v>
      </c>
      <c r="CW24" s="47">
        <v>2.1030555687343133</v>
      </c>
      <c r="CX24" s="47">
        <v>4.3924501762418284</v>
      </c>
      <c r="CY24" s="47">
        <v>6.5478792883164072</v>
      </c>
      <c r="DB24" s="16">
        <v>-107.84838251008536</v>
      </c>
      <c r="DC24" s="52">
        <v>3.9432680990890443</v>
      </c>
      <c r="DD24" s="47">
        <v>2.6511741658231891</v>
      </c>
      <c r="DE24" s="47">
        <v>3.6511741658231891</v>
      </c>
      <c r="DF24" s="47">
        <v>4.8044707645485989</v>
      </c>
      <c r="DI24" s="16">
        <v>-44.457514033112702</v>
      </c>
      <c r="DJ24" s="47">
        <v>28.666666666666668</v>
      </c>
      <c r="DK24" s="16">
        <v>25.316666666666666</v>
      </c>
      <c r="DL24" s="47">
        <v>0.53102809509107751</v>
      </c>
      <c r="DM24" s="16">
        <v>0.46897190490892249</v>
      </c>
      <c r="DN24" s="47">
        <v>-23.608188989488685</v>
      </c>
      <c r="DO24" s="16">
        <v>-20.849325043624017</v>
      </c>
      <c r="DP24" s="47">
        <v>0.70824566968466052</v>
      </c>
      <c r="DQ24" s="16">
        <v>2.5529785767702879</v>
      </c>
      <c r="DR24" s="47">
        <v>0.21426792539784481</v>
      </c>
      <c r="DS24" s="16">
        <v>0.21426792539784484</v>
      </c>
      <c r="DV24" s="16">
        <v>-48.696634176688569</v>
      </c>
      <c r="DW24" s="47">
        <v>1.6304676621659122</v>
      </c>
      <c r="DX24" s="47">
        <v>0.90129499157435733</v>
      </c>
      <c r="DY24" s="47">
        <v>1.1155629169722021</v>
      </c>
      <c r="DZ24" s="47">
        <v>1.1266807937513903</v>
      </c>
    </row>
    <row r="25" spans="1:130" x14ac:dyDescent="0.35">
      <c r="A25" s="13">
        <v>43586</v>
      </c>
      <c r="B25" s="47">
        <v>-81.23950461523205</v>
      </c>
      <c r="C25" s="47">
        <v>28.558000000000003</v>
      </c>
      <c r="D25" s="16">
        <v>4.9837499999999997</v>
      </c>
      <c r="E25" s="16">
        <v>34.135058333333333</v>
      </c>
      <c r="F25" s="47">
        <v>0.42197616440984165</v>
      </c>
      <c r="G25" s="16">
        <v>7.3640440835406815E-2</v>
      </c>
      <c r="H25" s="16">
        <v>0.50438339475475169</v>
      </c>
      <c r="I25" s="47">
        <v>-34.281134556091246</v>
      </c>
      <c r="J25" s="16">
        <v>-5.9825129331157543</v>
      </c>
      <c r="K25" s="16">
        <v>-40.975857126025062</v>
      </c>
      <c r="L25" s="47">
        <v>1.3084402502324903</v>
      </c>
      <c r="M25" s="16">
        <v>0.90030292447189697</v>
      </c>
      <c r="N25" s="16">
        <v>1.2364160162747386</v>
      </c>
      <c r="O25" s="47">
        <v>0.20040389929586261</v>
      </c>
      <c r="P25" s="16">
        <v>0.20040389929586264</v>
      </c>
      <c r="Q25" s="16">
        <v>0.20040389929586272</v>
      </c>
      <c r="R25" s="47">
        <v>1.646315394372051</v>
      </c>
      <c r="S25" s="16">
        <v>1.6463153943720514</v>
      </c>
      <c r="T25" s="16">
        <v>1.6463153943720519</v>
      </c>
      <c r="V25" s="16">
        <v>-120.50561693496596</v>
      </c>
      <c r="W25" s="47">
        <v>79.769833333333352</v>
      </c>
      <c r="X25" s="16">
        <v>42.806249999999999</v>
      </c>
      <c r="Y25" s="16">
        <v>42.6935</v>
      </c>
      <c r="Z25" s="47">
        <v>0.48266493884990946</v>
      </c>
      <c r="AA25" s="16">
        <v>0.25900863992416429</v>
      </c>
      <c r="AB25" s="16">
        <v>0.25832642122592631</v>
      </c>
      <c r="AC25" s="47">
        <v>-58.163836228985957</v>
      </c>
      <c r="AD25" s="16">
        <v>-31.211995945547873</v>
      </c>
      <c r="AE25" s="16">
        <v>-31.129784760432134</v>
      </c>
      <c r="AF25" s="47">
        <v>0.79476888493262532</v>
      </c>
      <c r="AG25" s="16">
        <v>0.54685932449492547</v>
      </c>
      <c r="AH25" s="16">
        <v>0.75102013897303088</v>
      </c>
      <c r="AI25" s="47">
        <v>-0.37146788288321364</v>
      </c>
      <c r="AJ25" s="16">
        <v>-0.37146788288321408</v>
      </c>
      <c r="AK25" s="16">
        <v>-0.37146788288321425</v>
      </c>
      <c r="AM25" s="16">
        <v>-312.96058161823379</v>
      </c>
      <c r="AN25" s="47">
        <v>33.268749999999997</v>
      </c>
      <c r="AO25" s="16">
        <v>1.8439166666666669</v>
      </c>
      <c r="AP25" s="16">
        <v>5.8195000000000006</v>
      </c>
      <c r="AQ25" s="16">
        <v>67.002749999999992</v>
      </c>
      <c r="AR25" s="16">
        <v>80.181749999999994</v>
      </c>
      <c r="AS25" s="47">
        <v>0.17685168778240454</v>
      </c>
      <c r="AT25" s="16">
        <v>9.8019845840347317E-3</v>
      </c>
      <c r="AU25" s="16">
        <v>3.0935589616372824E-2</v>
      </c>
      <c r="AV25" s="16">
        <v>0.35617657482059006</v>
      </c>
      <c r="AW25" s="16">
        <v>0.42623416319659785</v>
      </c>
      <c r="AX25" s="47">
        <v>-55.347607068547617</v>
      </c>
      <c r="AY25" s="16">
        <v>-3.0676347964324711</v>
      </c>
      <c r="AZ25" s="16">
        <v>-9.681620119043032</v>
      </c>
      <c r="BA25" s="16">
        <v>-111.46922801464223</v>
      </c>
      <c r="BB25" s="16">
        <v>-133.39449161956844</v>
      </c>
      <c r="BC25" s="47">
        <v>1.2477386526818925</v>
      </c>
      <c r="BD25" s="16">
        <v>1.8133801752310172</v>
      </c>
      <c r="BE25" s="16">
        <v>1.713561083016466</v>
      </c>
      <c r="BF25" s="16">
        <v>1.6137419908019144</v>
      </c>
      <c r="BG25" s="16">
        <v>1.6470150215400978</v>
      </c>
      <c r="BH25" s="47">
        <v>0.6636515369091901</v>
      </c>
      <c r="BI25" s="16">
        <v>0.66365153690918999</v>
      </c>
      <c r="BJ25" s="16">
        <v>0.66365153690919032</v>
      </c>
      <c r="BK25" s="16">
        <v>0.6636515369091901</v>
      </c>
      <c r="BL25" s="16">
        <v>0.66365153690918977</v>
      </c>
      <c r="BM25" s="47">
        <v>2.2816446511802519</v>
      </c>
      <c r="BN25" s="16">
        <v>2.2816446511802511</v>
      </c>
      <c r="BO25" s="16">
        <v>2.2816446511802528</v>
      </c>
      <c r="BP25" s="16">
        <v>2.2816446511802515</v>
      </c>
      <c r="BQ25" s="16">
        <v>2.2816446511802511</v>
      </c>
      <c r="CU25" s="16">
        <v>-69.312942328157519</v>
      </c>
      <c r="CV25" s="47">
        <v>13.107250000000001</v>
      </c>
      <c r="CW25" s="47">
        <v>2.0623736869275731</v>
      </c>
      <c r="CX25" s="47">
        <v>4.2881376587886484</v>
      </c>
      <c r="CY25" s="47">
        <v>6.6014341739002518</v>
      </c>
      <c r="DB25" s="16">
        <v>-107.8310955919396</v>
      </c>
      <c r="DC25" s="52">
        <v>3.9426360362683588</v>
      </c>
      <c r="DD25" s="47">
        <v>2.6170972809801452</v>
      </c>
      <c r="DE25" s="47">
        <v>3.6170972809801452</v>
      </c>
      <c r="DF25" s="47">
        <v>4.9607327501284688</v>
      </c>
      <c r="DI25" s="16">
        <v>-43.505509361025553</v>
      </c>
      <c r="DJ25" s="47">
        <v>28.666666666666668</v>
      </c>
      <c r="DK25" s="16">
        <v>25.643333333333334</v>
      </c>
      <c r="DL25" s="47">
        <v>0.5278340391579206</v>
      </c>
      <c r="DM25" s="16">
        <v>0.4721659608420794</v>
      </c>
      <c r="DN25" s="47">
        <v>-22.963688731652844</v>
      </c>
      <c r="DO25" s="16">
        <v>-20.541820629372708</v>
      </c>
      <c r="DP25" s="47">
        <v>0.68891066194958539</v>
      </c>
      <c r="DQ25" s="16">
        <v>2.5153249750252296</v>
      </c>
      <c r="DR25" s="47">
        <v>0.2483476414289186</v>
      </c>
      <c r="DS25" s="16">
        <v>0.24834764142891907</v>
      </c>
      <c r="DV25" s="16">
        <v>-47.837352822739426</v>
      </c>
      <c r="DW25" s="47">
        <v>1.6016970811185076</v>
      </c>
      <c r="DX25" s="47">
        <v>0.96042062947836226</v>
      </c>
      <c r="DY25" s="47">
        <v>1.2087682709072813</v>
      </c>
      <c r="DZ25" s="47">
        <v>1.1469360899714471</v>
      </c>
    </row>
    <row r="26" spans="1:130" x14ac:dyDescent="0.35">
      <c r="A26" s="13">
        <v>43617</v>
      </c>
      <c r="B26" s="47">
        <v>-80.783991025265465</v>
      </c>
      <c r="C26" s="47">
        <v>28.819999999999997</v>
      </c>
      <c r="D26" s="16">
        <v>5.2495500000000002</v>
      </c>
      <c r="E26" s="16">
        <v>34.466466666666669</v>
      </c>
      <c r="F26" s="47">
        <v>0.42050882735379275</v>
      </c>
      <c r="G26" s="16">
        <v>7.6595493221204125E-2</v>
      </c>
      <c r="H26" s="16">
        <v>0.50289567942500313</v>
      </c>
      <c r="I26" s="47">
        <v>-33.970381334993696</v>
      </c>
      <c r="J26" s="16">
        <v>-6.1876896369575354</v>
      </c>
      <c r="K26" s="16">
        <v>-40.625920053314232</v>
      </c>
      <c r="L26" s="47">
        <v>1.2965794402669351</v>
      </c>
      <c r="M26" s="16">
        <v>0.93117977982807154</v>
      </c>
      <c r="N26" s="16">
        <v>1.2258569253432845</v>
      </c>
      <c r="O26" s="47">
        <v>0.17870858206084997</v>
      </c>
      <c r="P26" s="16">
        <v>0.17870858206085</v>
      </c>
      <c r="Q26" s="16">
        <v>0.17870858206085044</v>
      </c>
      <c r="R26" s="47">
        <v>1.8477243392104521</v>
      </c>
      <c r="S26" s="16">
        <v>1.8477243392104525</v>
      </c>
      <c r="T26" s="16">
        <v>1.847724339210453</v>
      </c>
      <c r="V26" s="16">
        <v>-107.61716812386476</v>
      </c>
      <c r="W26" s="47">
        <v>80.501666666666679</v>
      </c>
      <c r="X26" s="16">
        <v>45.08925</v>
      </c>
      <c r="Y26" s="16">
        <v>43.108000000000004</v>
      </c>
      <c r="Z26" s="47">
        <v>0.4771913670656846</v>
      </c>
      <c r="AA26" s="16">
        <v>0.26727646443096104</v>
      </c>
      <c r="AB26" s="16">
        <v>0.25553216850335436</v>
      </c>
      <c r="AC26" s="47">
        <v>-51.353983576764641</v>
      </c>
      <c r="AD26" s="16">
        <v>-28.763536208218891</v>
      </c>
      <c r="AE26" s="16">
        <v>-27.499648338881226</v>
      </c>
      <c r="AF26" s="47">
        <v>0.70171692430104271</v>
      </c>
      <c r="AG26" s="16">
        <v>0.50396033654347605</v>
      </c>
      <c r="AH26" s="16">
        <v>0.66344145570280399</v>
      </c>
      <c r="AI26" s="47">
        <v>-0.56758368211750643</v>
      </c>
      <c r="AJ26" s="16">
        <v>-0.56758368211750665</v>
      </c>
      <c r="AK26" s="16">
        <v>-0.56758368211750643</v>
      </c>
      <c r="AM26" s="16">
        <v>-313.04818248403433</v>
      </c>
      <c r="AN26" s="47">
        <v>35.043083333333335</v>
      </c>
      <c r="AO26" s="16">
        <v>1.8608333333333336</v>
      </c>
      <c r="AP26" s="16">
        <v>5.8760000000000003</v>
      </c>
      <c r="AQ26" s="16">
        <v>64.930499999999995</v>
      </c>
      <c r="AR26" s="16">
        <v>77.751999999999995</v>
      </c>
      <c r="AS26" s="47">
        <v>0.18894978272776741</v>
      </c>
      <c r="AT26" s="16">
        <v>1.003347937969463E-2</v>
      </c>
      <c r="AU26" s="16">
        <v>3.1682969011241721E-2</v>
      </c>
      <c r="AV26" s="16">
        <v>0.35010058192383092</v>
      </c>
      <c r="AW26" s="16">
        <v>0.41923318695746531</v>
      </c>
      <c r="AX26" s="47">
        <v>-59.15038606368077</v>
      </c>
      <c r="AY26" s="16">
        <v>-3.1409624838044401</v>
      </c>
      <c r="AZ26" s="16">
        <v>-9.9182958646672024</v>
      </c>
      <c r="BA26" s="16">
        <v>-109.59835085785804</v>
      </c>
      <c r="BB26" s="16">
        <v>-131.24018721402388</v>
      </c>
      <c r="BC26" s="47">
        <v>1.3334672792864348</v>
      </c>
      <c r="BD26" s="16">
        <v>1.8567265914114919</v>
      </c>
      <c r="BE26" s="16">
        <v>1.7554505955163191</v>
      </c>
      <c r="BF26" s="16">
        <v>1.5866572690243657</v>
      </c>
      <c r="BG26" s="16">
        <v>1.620415934322756</v>
      </c>
      <c r="BH26" s="47">
        <v>0.68793326491953766</v>
      </c>
      <c r="BI26" s="16">
        <v>0.68793326491953788</v>
      </c>
      <c r="BJ26" s="16">
        <v>0.68793326491953755</v>
      </c>
      <c r="BK26" s="16">
        <v>0.68793326491953799</v>
      </c>
      <c r="BL26" s="16">
        <v>0.68793326491953755</v>
      </c>
      <c r="BM26" s="47">
        <v>2.6459766425911937</v>
      </c>
      <c r="BN26" s="16">
        <v>2.6459766425911937</v>
      </c>
      <c r="BO26" s="16">
        <v>2.6459766425911933</v>
      </c>
      <c r="BP26" s="16">
        <v>2.6459766425911937</v>
      </c>
      <c r="BQ26" s="16">
        <v>2.6459766425911933</v>
      </c>
      <c r="CU26" s="16">
        <v>-67.544946322483113</v>
      </c>
      <c r="CV26" s="47">
        <v>13.107250000000001</v>
      </c>
      <c r="CW26" s="47">
        <v>2.0097678052809256</v>
      </c>
      <c r="CX26" s="47">
        <v>4.1532507827716039</v>
      </c>
      <c r="CY26" s="47">
        <v>6.6863239010455331</v>
      </c>
      <c r="DB26" s="16">
        <v>-107.80874181847524</v>
      </c>
      <c r="DC26" s="52">
        <v>3.9418187136554019</v>
      </c>
      <c r="DD26" s="47">
        <v>2.5834715578685468</v>
      </c>
      <c r="DE26" s="47">
        <v>3.5834715578685468</v>
      </c>
      <c r="DF26" s="47">
        <v>5.6173915394469338</v>
      </c>
      <c r="DI26" s="16">
        <v>-42.555034153556541</v>
      </c>
      <c r="DJ26" s="47">
        <v>29</v>
      </c>
      <c r="DK26" s="16">
        <v>26.215</v>
      </c>
      <c r="DL26" s="47">
        <v>0.52521959612424152</v>
      </c>
      <c r="DM26" s="16">
        <v>0.47478040387575837</v>
      </c>
      <c r="DN26" s="47">
        <v>-22.35073785118427</v>
      </c>
      <c r="DO26" s="16">
        <v>-20.204296302372267</v>
      </c>
      <c r="DP26" s="47">
        <v>0.6705221355355282</v>
      </c>
      <c r="DQ26" s="16">
        <v>2.4739954655966043</v>
      </c>
      <c r="DR26" s="47">
        <v>0.29749631502493817</v>
      </c>
      <c r="DS26" s="16">
        <v>0.29749631502493801</v>
      </c>
      <c r="DV26" s="16">
        <v>-47.352038012846293</v>
      </c>
      <c r="DW26" s="47">
        <v>1.5854477013229786</v>
      </c>
      <c r="DX26" s="47">
        <v>1.0246647034281937</v>
      </c>
      <c r="DY26" s="47">
        <v>1.3221610184531318</v>
      </c>
      <c r="DZ26" s="47">
        <v>1.150999473375788</v>
      </c>
    </row>
    <row r="27" spans="1:130" x14ac:dyDescent="0.35">
      <c r="A27" s="13">
        <v>43647</v>
      </c>
      <c r="B27" s="47">
        <v>-73.133657032855581</v>
      </c>
      <c r="C27" s="47">
        <v>28.296000000000003</v>
      </c>
      <c r="D27" s="16">
        <v>5.3824499999999995</v>
      </c>
      <c r="E27" s="16">
        <v>33.140833333333333</v>
      </c>
      <c r="F27" s="47">
        <v>0.42347056999763288</v>
      </c>
      <c r="G27" s="16">
        <v>8.0552345542965739E-2</v>
      </c>
      <c r="H27" s="16">
        <v>0.4959770844594012</v>
      </c>
      <c r="I27" s="47">
        <v>-30.969951429714747</v>
      </c>
      <c r="J27" s="16">
        <v>-5.8910876121313294</v>
      </c>
      <c r="K27" s="16">
        <v>-36.27261799100949</v>
      </c>
      <c r="L27" s="47">
        <v>1.1820592148746087</v>
      </c>
      <c r="M27" s="16">
        <v>0.88654441115595639</v>
      </c>
      <c r="N27" s="16">
        <v>1.0944992730320446</v>
      </c>
      <c r="O27" s="47">
        <v>9.4499273032045056E-2</v>
      </c>
      <c r="P27" s="16">
        <v>9.4499273032044862E-2</v>
      </c>
      <c r="Q27" s="16">
        <v>9.4499273032044639E-2</v>
      </c>
      <c r="R27" s="47">
        <v>1.6568517749461544</v>
      </c>
      <c r="S27" s="16">
        <v>1.6568517749461542</v>
      </c>
      <c r="T27" s="16">
        <v>1.656851774946154</v>
      </c>
      <c r="V27" s="16">
        <v>-110.13269468944583</v>
      </c>
      <c r="W27" s="47">
        <v>79.038000000000011</v>
      </c>
      <c r="X27" s="16">
        <v>46.23075</v>
      </c>
      <c r="Y27" s="16">
        <v>41.449999999999996</v>
      </c>
      <c r="Z27" s="47">
        <v>0.47407985004686043</v>
      </c>
      <c r="AA27" s="16">
        <v>0.2772978444236176</v>
      </c>
      <c r="AB27" s="16">
        <v>0.248622305529522</v>
      </c>
      <c r="AC27" s="47">
        <v>-52.211691383629137</v>
      </c>
      <c r="AD27" s="16">
        <v>-30.539558837947727</v>
      </c>
      <c r="AE27" s="16">
        <v>-27.381444467868967</v>
      </c>
      <c r="AF27" s="47">
        <v>0.71343691255243635</v>
      </c>
      <c r="AG27" s="16">
        <v>0.53507768441432724</v>
      </c>
      <c r="AH27" s="16">
        <v>0.66058973384484843</v>
      </c>
      <c r="AI27" s="47">
        <v>-0.51379888115982786</v>
      </c>
      <c r="AJ27" s="16">
        <v>-0.51379888115982786</v>
      </c>
      <c r="AK27" s="16">
        <v>-0.51379888115982786</v>
      </c>
      <c r="AM27" s="16">
        <v>-283.71147296321669</v>
      </c>
      <c r="AN27" s="47">
        <v>35.930250000000001</v>
      </c>
      <c r="AO27" s="16">
        <v>1.8270000000000002</v>
      </c>
      <c r="AP27" s="16">
        <v>5.6499999999999995</v>
      </c>
      <c r="AQ27" s="16">
        <v>62.167499999999997</v>
      </c>
      <c r="AR27" s="16">
        <v>72.082583333333332</v>
      </c>
      <c r="AS27" s="47">
        <v>0.20224467701868018</v>
      </c>
      <c r="AT27" s="16">
        <v>1.0283842303160392E-2</v>
      </c>
      <c r="AU27" s="16">
        <v>3.1802796394557312E-2</v>
      </c>
      <c r="AV27" s="16">
        <v>0.34992926457675072</v>
      </c>
      <c r="AW27" s="16">
        <v>0.4057394197068514</v>
      </c>
      <c r="AX27" s="47">
        <v>-57.379135215939776</v>
      </c>
      <c r="AY27" s="16">
        <v>-2.9176440475510739</v>
      </c>
      <c r="AZ27" s="16">
        <v>-9.0228182094491327</v>
      </c>
      <c r="BA27" s="16">
        <v>-99.278947086005118</v>
      </c>
      <c r="BB27" s="16">
        <v>-115.1129284042716</v>
      </c>
      <c r="BC27" s="47">
        <v>1.2935367698502298</v>
      </c>
      <c r="BD27" s="16">
        <v>1.7247156931336398</v>
      </c>
      <c r="BE27" s="16">
        <v>1.5969589751237405</v>
      </c>
      <c r="BF27" s="16">
        <v>1.4372630776113662</v>
      </c>
      <c r="BG27" s="16">
        <v>1.4212934878601289</v>
      </c>
      <c r="BH27" s="47">
        <v>0.59695897512374041</v>
      </c>
      <c r="BI27" s="16">
        <v>0.59695897512374041</v>
      </c>
      <c r="BJ27" s="16">
        <v>0.59695897512374052</v>
      </c>
      <c r="BK27" s="16">
        <v>0.59695897512374019</v>
      </c>
      <c r="BL27" s="16">
        <v>0.5969589751237403</v>
      </c>
      <c r="BM27" s="47">
        <v>2.4174747098004632</v>
      </c>
      <c r="BN27" s="16">
        <v>2.4174747098004636</v>
      </c>
      <c r="BO27" s="16">
        <v>2.4174747098004636</v>
      </c>
      <c r="BP27" s="16">
        <v>2.4174747098004632</v>
      </c>
      <c r="BQ27" s="16">
        <v>2.4174747098004632</v>
      </c>
      <c r="CU27" s="16">
        <v>-67.615666162710099</v>
      </c>
      <c r="CV27" s="47">
        <v>11.762916666666667</v>
      </c>
      <c r="CW27" s="47">
        <v>2.011872040546792</v>
      </c>
      <c r="CX27" s="47">
        <v>4.7482058301336911</v>
      </c>
      <c r="CY27" s="47">
        <v>7.4253379032180069</v>
      </c>
      <c r="DB27" s="16">
        <v>-107.80963596941382</v>
      </c>
      <c r="DC27" s="52">
        <v>3.9418514065599206</v>
      </c>
      <c r="DD27" s="47">
        <v>2.6498624134814079</v>
      </c>
      <c r="DE27" s="47">
        <v>3.6498624134814079</v>
      </c>
      <c r="DF27" s="47">
        <v>5.5251576379154637</v>
      </c>
      <c r="DI27" s="16">
        <v>-41.279400283721969</v>
      </c>
      <c r="DJ27" s="47">
        <v>28.333333333333332</v>
      </c>
      <c r="DK27" s="16">
        <v>24.99</v>
      </c>
      <c r="DL27" s="47">
        <v>0.53134962805526031</v>
      </c>
      <c r="DM27" s="16">
        <v>0.46865037194473963</v>
      </c>
      <c r="DN27" s="47">
        <v>-21.933793987099875</v>
      </c>
      <c r="DO27" s="16">
        <v>-19.345606296622091</v>
      </c>
      <c r="DP27" s="47">
        <v>0.65801381961299632</v>
      </c>
      <c r="DQ27" s="16">
        <v>2.3688497506067865</v>
      </c>
      <c r="DR27" s="47">
        <v>0.29176618281348293</v>
      </c>
      <c r="DS27" s="16">
        <v>0.2917661828134831</v>
      </c>
      <c r="DV27" s="16">
        <v>-47.298640773533407</v>
      </c>
      <c r="DW27" s="47">
        <v>1.5836598473281276</v>
      </c>
      <c r="DX27" s="47">
        <v>0.93223311506109119</v>
      </c>
      <c r="DY27" s="47">
        <v>1.2239992978745744</v>
      </c>
      <c r="DZ27" s="47">
        <v>1.165783836343931</v>
      </c>
    </row>
    <row r="28" spans="1:130" x14ac:dyDescent="0.35">
      <c r="A28" s="13">
        <v>43678</v>
      </c>
      <c r="B28" s="47">
        <v>-71.25295948605077</v>
      </c>
      <c r="C28" s="47">
        <v>27.51</v>
      </c>
      <c r="D28" s="16">
        <v>5.3159999999999998</v>
      </c>
      <c r="E28" s="16">
        <v>31.483791666666665</v>
      </c>
      <c r="F28" s="47">
        <v>0.42777311645777116</v>
      </c>
      <c r="G28" s="16">
        <v>8.2662373212995688E-2</v>
      </c>
      <c r="H28" s="16">
        <v>0.48956451032923315</v>
      </c>
      <c r="I28" s="47">
        <v>-30.480100536187248</v>
      </c>
      <c r="J28" s="16">
        <v>-5.8899387295663903</v>
      </c>
      <c r="K28" s="16">
        <v>-34.88292022029713</v>
      </c>
      <c r="L28" s="47">
        <v>1.1633626158850097</v>
      </c>
      <c r="M28" s="16">
        <v>0.886371516864769</v>
      </c>
      <c r="N28" s="16">
        <v>1.0525661762769132</v>
      </c>
      <c r="O28" s="47">
        <v>0.10796439608096153</v>
      </c>
      <c r="P28" s="16">
        <v>0.1079643960809612</v>
      </c>
      <c r="Q28" s="16">
        <v>0.1079643960809613</v>
      </c>
      <c r="R28" s="47">
        <v>1.7055038742233226</v>
      </c>
      <c r="S28" s="16">
        <v>1.7055038742233228</v>
      </c>
      <c r="T28" s="16">
        <v>1.7055038742233222</v>
      </c>
      <c r="V28" s="16">
        <v>-105.16380475492286</v>
      </c>
      <c r="W28" s="47">
        <v>76.842500000000015</v>
      </c>
      <c r="X28" s="16">
        <v>45.66</v>
      </c>
      <c r="Y28" s="16">
        <v>39.377499999999998</v>
      </c>
      <c r="Z28" s="47">
        <v>0.47468804052384495</v>
      </c>
      <c r="AA28" s="16">
        <v>0.28206078576723498</v>
      </c>
      <c r="AB28" s="16">
        <v>0.24325117370892019</v>
      </c>
      <c r="AC28" s="47">
        <v>-49.920000413146539</v>
      </c>
      <c r="AD28" s="16">
        <v>-29.662585403445625</v>
      </c>
      <c r="AE28" s="16">
        <v>-25.581218938330707</v>
      </c>
      <c r="AF28" s="47">
        <v>0.68212252898856574</v>
      </c>
      <c r="AG28" s="16">
        <v>0.51971240303890709</v>
      </c>
      <c r="AH28" s="16">
        <v>0.61715847860870232</v>
      </c>
      <c r="AI28" s="47">
        <v>-0.53931288790140652</v>
      </c>
      <c r="AJ28" s="16">
        <v>-0.53931288790140697</v>
      </c>
      <c r="AK28" s="16">
        <v>-0.53931288790140641</v>
      </c>
      <c r="AM28" s="16">
        <v>-276.37116352240628</v>
      </c>
      <c r="AN28" s="47">
        <v>35.486666666666665</v>
      </c>
      <c r="AO28" s="16">
        <v>1.7762500000000001</v>
      </c>
      <c r="AP28" s="16">
        <v>5.3674999999999997</v>
      </c>
      <c r="AQ28" s="16">
        <v>58.713749999999997</v>
      </c>
      <c r="AR28" s="16">
        <v>69.652833333333334</v>
      </c>
      <c r="AS28" s="47">
        <v>0.20752800731396845</v>
      </c>
      <c r="AT28" s="16">
        <v>1.0387609139341626E-2</v>
      </c>
      <c r="AU28" s="16">
        <v>3.1389439580811355E-2</v>
      </c>
      <c r="AV28" s="16">
        <v>0.34336128704012348</v>
      </c>
      <c r="AW28" s="16">
        <v>0.40733365692575502</v>
      </c>
      <c r="AX28" s="47">
        <v>-57.354756844847898</v>
      </c>
      <c r="AY28" s="16">
        <v>-2.8708356240558266</v>
      </c>
      <c r="AZ28" s="16">
        <v>-8.6751359392651075</v>
      </c>
      <c r="BA28" s="16">
        <v>-94.89515840782984</v>
      </c>
      <c r="BB28" s="16">
        <v>-112.57527670640758</v>
      </c>
      <c r="BC28" s="47">
        <v>1.2929871916929829</v>
      </c>
      <c r="BD28" s="16">
        <v>1.6970456890970405</v>
      </c>
      <c r="BE28" s="16">
        <v>1.5354222901354171</v>
      </c>
      <c r="BF28" s="16">
        <v>1.3737988911737944</v>
      </c>
      <c r="BG28" s="16">
        <v>1.3899612310699569</v>
      </c>
      <c r="BH28" s="47">
        <v>0.61623398961622855</v>
      </c>
      <c r="BI28" s="16">
        <v>0.61623398961622888</v>
      </c>
      <c r="BJ28" s="16">
        <v>0.61623398961622855</v>
      </c>
      <c r="BK28" s="16">
        <v>0.61623398961622877</v>
      </c>
      <c r="BL28" s="16">
        <v>0.61623398961622899</v>
      </c>
      <c r="BM28" s="47">
        <v>2.4878898100805693</v>
      </c>
      <c r="BN28" s="16">
        <v>2.4878898100805689</v>
      </c>
      <c r="BO28" s="16">
        <v>2.4878898100805684</v>
      </c>
      <c r="BP28" s="16">
        <v>2.4878898100805689</v>
      </c>
      <c r="BQ28" s="16">
        <v>2.4878898100805689</v>
      </c>
      <c r="CU28" s="16">
        <v>-67.757105843164041</v>
      </c>
      <c r="CV28" s="47">
        <v>11.426833333333335</v>
      </c>
      <c r="CW28" s="47">
        <v>2.0160805110785236</v>
      </c>
      <c r="CX28" s="47">
        <v>4.9296485619956574</v>
      </c>
      <c r="CY28" s="47">
        <v>7.8966850527155446</v>
      </c>
      <c r="DB28" s="16">
        <v>-107.81142427129097</v>
      </c>
      <c r="DC28" s="52">
        <v>3.9419167923689571</v>
      </c>
      <c r="DD28" s="47">
        <v>2.7542064689228165</v>
      </c>
      <c r="DE28" s="47">
        <v>3.7542064689228165</v>
      </c>
      <c r="DF28" s="47">
        <v>5.7788984014557219</v>
      </c>
      <c r="DI28" s="16">
        <v>-40.40361512405282</v>
      </c>
      <c r="DJ28" s="47">
        <v>28</v>
      </c>
      <c r="DK28" s="16">
        <v>25.806666666666668</v>
      </c>
      <c r="DL28" s="47">
        <v>0.5203816131830008</v>
      </c>
      <c r="DM28" s="16">
        <v>0.47961838681699914</v>
      </c>
      <c r="DN28" s="47">
        <v>-21.025298416679696</v>
      </c>
      <c r="DO28" s="16">
        <v>-19.378316707373124</v>
      </c>
      <c r="DP28" s="47">
        <v>0.63075895250039093</v>
      </c>
      <c r="DQ28" s="16">
        <v>2.3728551070252806</v>
      </c>
      <c r="DR28" s="47">
        <v>0.33172901735307408</v>
      </c>
      <c r="DS28" s="16">
        <v>0.33172901735307403</v>
      </c>
      <c r="DV28" s="16">
        <v>-47.166381626397992</v>
      </c>
      <c r="DW28" s="47">
        <v>1.5792315276695756</v>
      </c>
      <c r="DX28" s="47">
        <v>1.0009732231366459</v>
      </c>
      <c r="DY28" s="47">
        <v>1.33270224048972</v>
      </c>
      <c r="DZ28" s="47">
        <v>1.1728294447379572</v>
      </c>
    </row>
    <row r="29" spans="1:130" x14ac:dyDescent="0.35">
      <c r="A29" s="13">
        <v>43709</v>
      </c>
      <c r="B29" s="47">
        <v>-69.657717122291686</v>
      </c>
      <c r="C29" s="47">
        <v>26.462</v>
      </c>
      <c r="D29" s="16">
        <v>5.3824499999999995</v>
      </c>
      <c r="E29" s="16">
        <v>29.826750000000001</v>
      </c>
      <c r="F29" s="47">
        <v>0.42908197019029953</v>
      </c>
      <c r="G29" s="16">
        <v>8.7276556966622981E-2</v>
      </c>
      <c r="H29" s="16">
        <v>0.48364147284307751</v>
      </c>
      <c r="I29" s="47">
        <v>-29.88887050179148</v>
      </c>
      <c r="J29" s="16">
        <v>-6.0794857165885992</v>
      </c>
      <c r="K29" s="16">
        <v>-33.689360903911613</v>
      </c>
      <c r="L29" s="47">
        <v>1.1407965840378429</v>
      </c>
      <c r="M29" s="16">
        <v>0.91489627036698251</v>
      </c>
      <c r="N29" s="16">
        <v>1.0165514115188699</v>
      </c>
      <c r="O29" s="47">
        <v>0.12950156835429988</v>
      </c>
      <c r="P29" s="16">
        <v>0.12950156835429932</v>
      </c>
      <c r="Q29" s="16">
        <v>0.1295015683542998</v>
      </c>
      <c r="R29" s="47">
        <v>1.6866827140901832</v>
      </c>
      <c r="S29" s="16">
        <v>1.6866827140901826</v>
      </c>
      <c r="T29" s="16">
        <v>1.6866827140901832</v>
      </c>
      <c r="V29" s="16">
        <v>-105.43835887341251</v>
      </c>
      <c r="W29" s="47">
        <v>73.915166666666678</v>
      </c>
      <c r="X29" s="16">
        <v>46.23075</v>
      </c>
      <c r="Y29" s="16">
        <v>37.305</v>
      </c>
      <c r="Z29" s="47">
        <v>0.46944894467111714</v>
      </c>
      <c r="AA29" s="16">
        <v>0.29362007525096445</v>
      </c>
      <c r="AB29" s="16">
        <v>0.23693098007791846</v>
      </c>
      <c r="AC29" s="47">
        <v>-49.497926300978023</v>
      </c>
      <c r="AD29" s="16">
        <v>-30.958818866749578</v>
      </c>
      <c r="AE29" s="16">
        <v>-24.981613705684918</v>
      </c>
      <c r="AF29" s="47">
        <v>0.67635517605526785</v>
      </c>
      <c r="AG29" s="16">
        <v>0.54242345802452174</v>
      </c>
      <c r="AH29" s="16">
        <v>0.60269273113835753</v>
      </c>
      <c r="AI29" s="47">
        <v>-0.49329824884413781</v>
      </c>
      <c r="AJ29" s="16">
        <v>-0.49329824884413787</v>
      </c>
      <c r="AK29" s="16">
        <v>-0.49329824884413775</v>
      </c>
      <c r="AM29" s="16">
        <v>-268.97595753902743</v>
      </c>
      <c r="AN29" s="47">
        <v>35.930250000000001</v>
      </c>
      <c r="AO29" s="16">
        <v>1.7085833333333333</v>
      </c>
      <c r="AP29" s="16">
        <v>5.085</v>
      </c>
      <c r="AQ29" s="16">
        <v>57.332249999999995</v>
      </c>
      <c r="AR29" s="16">
        <v>67.223083333333321</v>
      </c>
      <c r="AS29" s="47">
        <v>0.21479213888958082</v>
      </c>
      <c r="AT29" s="16">
        <v>1.0213963683463273E-2</v>
      </c>
      <c r="AU29" s="16">
        <v>3.0398286297855386E-2</v>
      </c>
      <c r="AV29" s="16">
        <v>0.3427339527237403</v>
      </c>
      <c r="AW29" s="16">
        <v>0.40186165840536031</v>
      </c>
      <c r="AX29" s="47">
        <v>-57.773921229680774</v>
      </c>
      <c r="AY29" s="16">
        <v>-2.7473106620283856</v>
      </c>
      <c r="AZ29" s="16">
        <v>-8.1764081645111499</v>
      </c>
      <c r="BA29" s="16">
        <v>-92.187193115003808</v>
      </c>
      <c r="BB29" s="16">
        <v>-108.09112436780335</v>
      </c>
      <c r="BC29" s="47">
        <v>1.3024366987716878</v>
      </c>
      <c r="BD29" s="16">
        <v>1.6240260071103756</v>
      </c>
      <c r="BE29" s="16">
        <v>1.4471518875240974</v>
      </c>
      <c r="BF29" s="16">
        <v>1.3345956296055563</v>
      </c>
      <c r="BG29" s="16">
        <v>1.3345956296055563</v>
      </c>
      <c r="BH29" s="47">
        <v>0.60794654169344164</v>
      </c>
      <c r="BI29" s="16">
        <v>0.6079465416934412</v>
      </c>
      <c r="BJ29" s="16">
        <v>0.60794654169344153</v>
      </c>
      <c r="BK29" s="16">
        <v>0.60794654169344142</v>
      </c>
      <c r="BL29" s="16">
        <v>0.60794654169344142</v>
      </c>
      <c r="BM29" s="47">
        <v>2.4011437549458039</v>
      </c>
      <c r="BN29" s="16">
        <v>2.401143754945803</v>
      </c>
      <c r="BO29" s="16">
        <v>2.4011437549458039</v>
      </c>
      <c r="BP29" s="16">
        <v>2.401143754945803</v>
      </c>
      <c r="BQ29" s="16">
        <v>2.401143754945803</v>
      </c>
      <c r="CU29" s="16">
        <v>-69.006489687173953</v>
      </c>
      <c r="CV29" s="47">
        <v>11.09075</v>
      </c>
      <c r="CW29" s="47">
        <v>2.0532553341088207</v>
      </c>
      <c r="CX29" s="47">
        <v>5.2219858609358196</v>
      </c>
      <c r="CY29" s="47">
        <v>8.2868077093445152</v>
      </c>
      <c r="DB29" s="16">
        <v>-107.82722093787244</v>
      </c>
      <c r="DC29" s="52">
        <v>3.942494367015446</v>
      </c>
      <c r="DD29" s="47">
        <v>2.9034597693222235</v>
      </c>
      <c r="DE29" s="47">
        <v>3.9034597693222235</v>
      </c>
      <c r="DF29" s="47">
        <v>5.8290296379624182</v>
      </c>
      <c r="DI29" s="16">
        <v>-39.847812474753141</v>
      </c>
      <c r="DJ29" s="47">
        <v>28</v>
      </c>
      <c r="DK29" s="16">
        <v>25.071666666666662</v>
      </c>
      <c r="DL29" s="47">
        <v>0.52758848098483191</v>
      </c>
      <c r="DM29" s="16">
        <v>0.47241151901516815</v>
      </c>
      <c r="DN29" s="47">
        <v>-21.023246854123446</v>
      </c>
      <c r="DO29" s="16">
        <v>-18.824565620629699</v>
      </c>
      <c r="DP29" s="47">
        <v>0.63069740562370336</v>
      </c>
      <c r="DQ29" s="16">
        <v>2.3050488515056773</v>
      </c>
      <c r="DR29" s="47">
        <v>0.33185897470010212</v>
      </c>
      <c r="DS29" s="16">
        <v>0.33185897470010234</v>
      </c>
      <c r="DV29" s="16">
        <v>-47.751750640385012</v>
      </c>
      <c r="DW29" s="47">
        <v>1.5988309366200339</v>
      </c>
      <c r="DX29" s="47">
        <v>0.9201529878387591</v>
      </c>
      <c r="DY29" s="47">
        <v>1.2520119625388615</v>
      </c>
      <c r="DZ29" s="47">
        <v>1.2031752490437786</v>
      </c>
    </row>
    <row r="30" spans="1:130" x14ac:dyDescent="0.35">
      <c r="A30" s="13">
        <v>43739</v>
      </c>
      <c r="B30" s="47">
        <v>-66.339688589582877</v>
      </c>
      <c r="C30" s="47">
        <v>26.462</v>
      </c>
      <c r="D30" s="16">
        <v>4.9173</v>
      </c>
      <c r="E30" s="16">
        <v>29.163933333333333</v>
      </c>
      <c r="F30" s="47">
        <v>0.43707609493381311</v>
      </c>
      <c r="G30" s="16">
        <v>8.1219646346384983E-2</v>
      </c>
      <c r="H30" s="16">
        <v>0.48170425871980188</v>
      </c>
      <c r="I30" s="47">
        <v>-28.995492027860124</v>
      </c>
      <c r="J30" s="16">
        <v>-5.3880860459752329</v>
      </c>
      <c r="K30" s="16">
        <v>-31.956110515747518</v>
      </c>
      <c r="L30" s="47">
        <v>1.106698169002295</v>
      </c>
      <c r="M30" s="16">
        <v>0.81084816342742405</v>
      </c>
      <c r="N30" s="16">
        <v>0.96425187002180146</v>
      </c>
      <c r="O30" s="47">
        <v>9.5740761388410894E-2</v>
      </c>
      <c r="P30" s="16">
        <v>9.5740761388410894E-2</v>
      </c>
      <c r="Q30" s="16">
        <v>9.5740761388410742E-2</v>
      </c>
      <c r="R30" s="47">
        <v>1.5795366692000625</v>
      </c>
      <c r="S30" s="16">
        <v>1.5795366692000625</v>
      </c>
      <c r="T30" s="16">
        <v>1.5795366692000625</v>
      </c>
      <c r="V30" s="16">
        <v>-105.87868151627328</v>
      </c>
      <c r="W30" s="47">
        <v>73.915166666666678</v>
      </c>
      <c r="X30" s="16">
        <v>42.235499999999995</v>
      </c>
      <c r="Y30" s="16">
        <v>36.475999999999999</v>
      </c>
      <c r="Z30" s="47">
        <v>0.48428736786931081</v>
      </c>
      <c r="AA30" s="16">
        <v>0.27672425089543107</v>
      </c>
      <c r="AB30" s="16">
        <v>0.23898838123525815</v>
      </c>
      <c r="AC30" s="47">
        <v>-51.275707984989033</v>
      </c>
      <c r="AD30" s="16">
        <v>-29.299198828386647</v>
      </c>
      <c r="AE30" s="16">
        <v>-25.303774702897599</v>
      </c>
      <c r="AF30" s="47">
        <v>0.70064734208593527</v>
      </c>
      <c r="AG30" s="16">
        <v>0.51334557736989317</v>
      </c>
      <c r="AH30" s="16">
        <v>0.61046501092635941</v>
      </c>
      <c r="AI30" s="47">
        <v>-0.44152405829882141</v>
      </c>
      <c r="AJ30" s="16">
        <v>-0.44152405829882135</v>
      </c>
      <c r="AK30" s="16">
        <v>-0.44152405829882146</v>
      </c>
      <c r="AM30" s="16">
        <v>-254.21007381469394</v>
      </c>
      <c r="AN30" s="47">
        <v>32.825166666666668</v>
      </c>
      <c r="AO30" s="16">
        <v>1.7085833333333333</v>
      </c>
      <c r="AP30" s="16">
        <v>4.9719999999999995</v>
      </c>
      <c r="AQ30" s="16">
        <v>58.713749999999997</v>
      </c>
      <c r="AR30" s="16">
        <v>69.652833333333334</v>
      </c>
      <c r="AS30" s="47">
        <v>0.19553648903829698</v>
      </c>
      <c r="AT30" s="16">
        <v>1.017787326480242E-2</v>
      </c>
      <c r="AU30" s="16">
        <v>2.961774523099895E-2</v>
      </c>
      <c r="AV30" s="16">
        <v>0.34975239120204438</v>
      </c>
      <c r="AW30" s="16">
        <v>0.41491550126385729</v>
      </c>
      <c r="AX30" s="47">
        <v>-49.707345311891572</v>
      </c>
      <c r="AY30" s="16">
        <v>-2.587317913922023</v>
      </c>
      <c r="AZ30" s="16">
        <v>-7.5291292013970423</v>
      </c>
      <c r="BA30" s="16">
        <v>-88.910581184337417</v>
      </c>
      <c r="BB30" s="16">
        <v>-105.47570020314591</v>
      </c>
      <c r="BC30" s="47">
        <v>1.1205864056785628</v>
      </c>
      <c r="BD30" s="16">
        <v>1.5294490131558756</v>
      </c>
      <c r="BE30" s="16">
        <v>1.3325892391853174</v>
      </c>
      <c r="BF30" s="16">
        <v>1.287160060576727</v>
      </c>
      <c r="BG30" s="16">
        <v>1.302303120112924</v>
      </c>
      <c r="BH30" s="47">
        <v>0.51430595361967946</v>
      </c>
      <c r="BI30" s="16">
        <v>0.51430595361967879</v>
      </c>
      <c r="BJ30" s="16">
        <v>0.51430595361967879</v>
      </c>
      <c r="BK30" s="16">
        <v>0.5143059536196789</v>
      </c>
      <c r="BL30" s="16">
        <v>0.51430595361967912</v>
      </c>
      <c r="BM30" s="47">
        <v>2.182908463767907</v>
      </c>
      <c r="BN30" s="16">
        <v>2.1829084637679061</v>
      </c>
      <c r="BO30" s="16">
        <v>2.1829084637679066</v>
      </c>
      <c r="BP30" s="16">
        <v>2.1829084637679061</v>
      </c>
      <c r="BQ30" s="16">
        <v>2.182908463767907</v>
      </c>
      <c r="CU30" s="16">
        <v>-71.010218493604938</v>
      </c>
      <c r="CV30" s="47">
        <v>10.418583333333332</v>
      </c>
      <c r="CW30" s="47">
        <v>2.1128753333083541</v>
      </c>
      <c r="CX30" s="47">
        <v>5.8157268816398515</v>
      </c>
      <c r="CY30" s="47">
        <v>9.4004605822018465</v>
      </c>
      <c r="DB30" s="16">
        <v>-107.85255521446537</v>
      </c>
      <c r="DC30" s="52">
        <v>3.9434206659767961</v>
      </c>
      <c r="DD30" s="47">
        <v>2.904376897006729</v>
      </c>
      <c r="DE30" s="47">
        <v>3.904376897006729</v>
      </c>
      <c r="DF30" s="47">
        <v>5.6282532297012988</v>
      </c>
      <c r="DI30" s="16">
        <v>-38.962538044995803</v>
      </c>
      <c r="DJ30" s="47">
        <v>28.666666666666668</v>
      </c>
      <c r="DK30" s="16">
        <v>25.071666666666662</v>
      </c>
      <c r="DL30" s="47">
        <v>0.53344912073938533</v>
      </c>
      <c r="DM30" s="16">
        <v>0.46655087926061467</v>
      </c>
      <c r="DN30" s="47">
        <v>-20.78453166187786</v>
      </c>
      <c r="DO30" s="16">
        <v>-18.178006383117943</v>
      </c>
      <c r="DP30" s="47">
        <v>0.62353594985633587</v>
      </c>
      <c r="DQ30" s="16">
        <v>2.2258783326266869</v>
      </c>
      <c r="DR30" s="47">
        <v>0.37923082093044674</v>
      </c>
      <c r="DS30" s="16">
        <v>0.37923082093044697</v>
      </c>
      <c r="DV30" s="16">
        <v>-49.123839642787871</v>
      </c>
      <c r="DW30" s="47">
        <v>1.6447714166112011</v>
      </c>
      <c r="DX30" s="47">
        <v>0.8665207633078057</v>
      </c>
      <c r="DY30" s="47">
        <v>1.2457515842382527</v>
      </c>
      <c r="DZ30" s="47">
        <v>1.216990608979525</v>
      </c>
    </row>
    <row r="31" spans="1:130" x14ac:dyDescent="0.35">
      <c r="A31" s="13">
        <v>43770</v>
      </c>
      <c r="B31" s="47">
        <v>-66.394350220378854</v>
      </c>
      <c r="C31" s="47">
        <v>25.937999999999999</v>
      </c>
      <c r="D31" s="16">
        <v>4.7179499999999992</v>
      </c>
      <c r="E31" s="16">
        <v>28.501116666666665</v>
      </c>
      <c r="F31" s="47">
        <v>0.43845987405280407</v>
      </c>
      <c r="G31" s="16">
        <v>7.9752940195366898E-2</v>
      </c>
      <c r="H31" s="16">
        <v>0.48178718575182899</v>
      </c>
      <c r="I31" s="47">
        <v>-29.111258435445077</v>
      </c>
      <c r="J31" s="16">
        <v>-5.2951446424361199</v>
      </c>
      <c r="K31" s="16">
        <v>-31.987947142497656</v>
      </c>
      <c r="L31" s="47">
        <v>1.1111167341772932</v>
      </c>
      <c r="M31" s="16">
        <v>0.7968614962281596</v>
      </c>
      <c r="N31" s="16">
        <v>0.96521251655805251</v>
      </c>
      <c r="O31" s="47">
        <v>0.12234013553261938</v>
      </c>
      <c r="P31" s="16">
        <v>0.12234013553261922</v>
      </c>
      <c r="Q31" s="16">
        <v>0.12234013553261922</v>
      </c>
      <c r="R31" s="47">
        <v>1.5037524528699744</v>
      </c>
      <c r="S31" s="16">
        <v>1.5037524528699739</v>
      </c>
      <c r="T31" s="16">
        <v>1.5037524528699739</v>
      </c>
      <c r="V31" s="16">
        <v>-110.92527544659521</v>
      </c>
      <c r="W31" s="47">
        <v>72.451499999999996</v>
      </c>
      <c r="X31" s="16">
        <v>40.523249999999997</v>
      </c>
      <c r="Y31" s="16">
        <v>35.646999999999998</v>
      </c>
      <c r="Z31" s="47">
        <v>0.48748921338902279</v>
      </c>
      <c r="AA31" s="16">
        <v>0.2726602936649582</v>
      </c>
      <c r="AB31" s="16">
        <v>0.23985049294601901</v>
      </c>
      <c r="AC31" s="47">
        <v>-54.07487527242138</v>
      </c>
      <c r="AD31" s="16">
        <v>-30.244918178135027</v>
      </c>
      <c r="AE31" s="16">
        <v>-26.605481996038801</v>
      </c>
      <c r="AF31" s="47">
        <v>0.73889604107157436</v>
      </c>
      <c r="AG31" s="16">
        <v>0.52991534258668471</v>
      </c>
      <c r="AH31" s="16">
        <v>0.6418692882035899</v>
      </c>
      <c r="AI31" s="47">
        <v>-0.33983665491598164</v>
      </c>
      <c r="AJ31" s="16">
        <v>-0.33983665491598142</v>
      </c>
      <c r="AK31" s="16">
        <v>-0.33983665491598153</v>
      </c>
      <c r="AM31" s="16">
        <v>-254.19956171079787</v>
      </c>
      <c r="AN31" s="47">
        <v>31.494416666666663</v>
      </c>
      <c r="AO31" s="16">
        <v>1.6747500000000002</v>
      </c>
      <c r="AP31" s="16">
        <v>4.859</v>
      </c>
      <c r="AQ31" s="16">
        <v>60.786000000000001</v>
      </c>
      <c r="AR31" s="16">
        <v>70.46275</v>
      </c>
      <c r="AS31" s="47">
        <v>0.18605263663139734</v>
      </c>
      <c r="AT31" s="16">
        <v>9.893552133264873E-3</v>
      </c>
      <c r="AU31" s="16">
        <v>2.8704445329472469E-2</v>
      </c>
      <c r="AV31" s="16">
        <v>0.35909207939850041</v>
      </c>
      <c r="AW31" s="16">
        <v>0.41625728650736493</v>
      </c>
      <c r="AX31" s="47">
        <v>-47.294498686839539</v>
      </c>
      <c r="AY31" s="16">
        <v>-2.51493661603886</v>
      </c>
      <c r="AZ31" s="16">
        <v>-7.2966574219034603</v>
      </c>
      <c r="BA31" s="16">
        <v>-91.281049196917834</v>
      </c>
      <c r="BB31" s="16">
        <v>-105.81241978909819</v>
      </c>
      <c r="BC31" s="47">
        <v>1.0661919673907092</v>
      </c>
      <c r="BD31" s="16">
        <v>1.4866620390377496</v>
      </c>
      <c r="BE31" s="16">
        <v>1.2914437914873382</v>
      </c>
      <c r="BF31" s="16">
        <v>1.3214773680335554</v>
      </c>
      <c r="BG31" s="16">
        <v>1.3064605797604469</v>
      </c>
      <c r="BH31" s="47">
        <v>0.50167882731085811</v>
      </c>
      <c r="BI31" s="16">
        <v>0.50167882731085822</v>
      </c>
      <c r="BJ31" s="16">
        <v>0.50167882731085844</v>
      </c>
      <c r="BK31" s="16">
        <v>0.50167882731085844</v>
      </c>
      <c r="BL31" s="16">
        <v>0.50167882731085855</v>
      </c>
      <c r="BM31" s="47">
        <v>2.0120043367423341</v>
      </c>
      <c r="BN31" s="16">
        <v>2.0120043367423346</v>
      </c>
      <c r="BO31" s="16">
        <v>2.0120043367423346</v>
      </c>
      <c r="BP31" s="16">
        <v>2.0120043367423346</v>
      </c>
      <c r="BQ31" s="16">
        <v>2.0120043367423346</v>
      </c>
      <c r="BT31" s="67">
        <v>-304.98728980951347</v>
      </c>
      <c r="BU31" s="68">
        <v>0.26092500000000002</v>
      </c>
      <c r="BV31" s="67">
        <v>34.125</v>
      </c>
      <c r="BW31" s="67">
        <v>224.53357500000004</v>
      </c>
      <c r="BX31" s="67">
        <v>62.215300000000006</v>
      </c>
      <c r="BY31" s="68">
        <v>8.1250926402246025E-4</v>
      </c>
      <c r="BZ31" s="67">
        <v>0.10626378704519097</v>
      </c>
      <c r="CA31" s="67">
        <v>0.69918792668997576</v>
      </c>
      <c r="CB31" s="67">
        <v>0.19373577700081088</v>
      </c>
      <c r="CC31" s="68">
        <v>0.24780499837933259</v>
      </c>
      <c r="CD31" s="67">
        <v>32.409104415808081</v>
      </c>
      <c r="CE31" s="67">
        <v>213.24343082870848</v>
      </c>
      <c r="CF31" s="67">
        <v>59.086949566617584</v>
      </c>
      <c r="CG31" s="68">
        <v>0.67429931531791176</v>
      </c>
      <c r="CH31" s="67">
        <v>0.37038976475209234</v>
      </c>
      <c r="CI31" s="67">
        <v>1.7569770892086436</v>
      </c>
      <c r="CJ31" s="67">
        <v>0.53184171349018405</v>
      </c>
      <c r="CK31" s="68">
        <v>-5.0282654481814369E-2</v>
      </c>
      <c r="CL31" s="67">
        <v>-5.2944862720580597E-2</v>
      </c>
      <c r="CM31" s="67">
        <v>-5.2944862720580355E-2</v>
      </c>
      <c r="CN31" s="67">
        <v>-5.0282654481814279E-2</v>
      </c>
      <c r="CO31" s="68">
        <v>1.320220420474848</v>
      </c>
      <c r="CP31" s="67">
        <v>1.320220420474848</v>
      </c>
      <c r="CQ31" s="67">
        <v>1.3202204204748482</v>
      </c>
      <c r="CR31" s="67">
        <v>1.3202204204748482</v>
      </c>
      <c r="CU31" s="16">
        <v>-71.222378014285866</v>
      </c>
      <c r="CV31" s="47">
        <v>10.418583333333332</v>
      </c>
      <c r="CW31" s="47">
        <v>2.1191880391059517</v>
      </c>
      <c r="CX31" s="47">
        <v>5.8360904487288758</v>
      </c>
      <c r="CY31" s="47">
        <v>9.5298251324229213</v>
      </c>
      <c r="DB31" s="16">
        <v>-107.85523766728109</v>
      </c>
      <c r="DC31" s="52">
        <v>3.9435187446903504</v>
      </c>
      <c r="DD31" s="47">
        <v>2.9833522673639901</v>
      </c>
      <c r="DE31" s="47">
        <v>3.9833522673639901</v>
      </c>
      <c r="DF31" s="47">
        <v>5.3370413772569592</v>
      </c>
      <c r="DI31" s="16">
        <v>-38.138385242158755</v>
      </c>
      <c r="DJ31" s="47">
        <v>28.666666666666668</v>
      </c>
      <c r="DK31" s="16">
        <v>24.5</v>
      </c>
      <c r="DL31" s="47">
        <v>0.53918495297805635</v>
      </c>
      <c r="DM31" s="16">
        <v>0.46081504702194354</v>
      </c>
      <c r="DN31" s="47">
        <v>-20.563643453452368</v>
      </c>
      <c r="DO31" s="16">
        <v>-17.574741788706383</v>
      </c>
      <c r="DP31" s="47">
        <v>0.6169093036035711</v>
      </c>
      <c r="DQ31" s="16">
        <v>2.1520091986171082</v>
      </c>
      <c r="DR31" s="47">
        <v>0.39404608582891487</v>
      </c>
      <c r="DS31" s="16">
        <v>0.39404608582891509</v>
      </c>
      <c r="DV31" s="16">
        <v>-49.340316434476236</v>
      </c>
      <c r="DW31" s="47">
        <v>1.6520195234757669</v>
      </c>
      <c r="DX31" s="47">
        <v>0.81595916838086113</v>
      </c>
      <c r="DY31" s="47">
        <v>1.2100052542097761</v>
      </c>
      <c r="DZ31" s="47">
        <v>1.2302221763334409</v>
      </c>
    </row>
    <row r="32" spans="1:130" x14ac:dyDescent="0.35">
      <c r="A32" s="13">
        <v>43800</v>
      </c>
      <c r="B32" s="47">
        <v>-66.072453950135809</v>
      </c>
      <c r="C32" s="47">
        <v>25.413999999999998</v>
      </c>
      <c r="D32" s="16">
        <v>4.9173</v>
      </c>
      <c r="E32" s="16">
        <v>28.169708333333332</v>
      </c>
      <c r="F32" s="47">
        <v>0.43441986256362247</v>
      </c>
      <c r="G32" s="16">
        <v>8.4054961445821239E-2</v>
      </c>
      <c r="H32" s="16">
        <v>0.48152517599055628</v>
      </c>
      <c r="I32" s="47">
        <v>-28.703186364259274</v>
      </c>
      <c r="J32" s="16">
        <v>-5.5537175694094643</v>
      </c>
      <c r="K32" s="16">
        <v>-31.815550016467071</v>
      </c>
      <c r="L32" s="47">
        <v>1.0955414642847052</v>
      </c>
      <c r="M32" s="16">
        <v>0.83577390058833179</v>
      </c>
      <c r="N32" s="16">
        <v>0.96001056148659725</v>
      </c>
      <c r="O32" s="47">
        <v>0.12942418998423222</v>
      </c>
      <c r="P32" s="16">
        <v>0.12942418998423216</v>
      </c>
      <c r="Q32" s="16">
        <v>0.12942418998423208</v>
      </c>
      <c r="R32" s="47">
        <v>1.4818255547520518</v>
      </c>
      <c r="S32" s="16">
        <v>1.4818255547520518</v>
      </c>
      <c r="T32" s="16">
        <v>1.4818255547520516</v>
      </c>
      <c r="V32" s="16">
        <v>-113.15070709452684</v>
      </c>
      <c r="W32" s="47">
        <v>70.987833333333342</v>
      </c>
      <c r="X32" s="16">
        <v>42.235499999999995</v>
      </c>
      <c r="Y32" s="16">
        <v>35.232499999999995</v>
      </c>
      <c r="Z32" s="47">
        <v>0.47817476578331392</v>
      </c>
      <c r="AA32" s="16">
        <v>0.28449875664479335</v>
      </c>
      <c r="AB32" s="16">
        <v>0.23732647757189287</v>
      </c>
      <c r="AC32" s="47">
        <v>-54.105812863141729</v>
      </c>
      <c r="AD32" s="16">
        <v>-32.191235481872084</v>
      </c>
      <c r="AE32" s="16">
        <v>-26.853658749513045</v>
      </c>
      <c r="AF32" s="47">
        <v>0.73931878200603585</v>
      </c>
      <c r="AG32" s="16">
        <v>0.56401639039635709</v>
      </c>
      <c r="AH32" s="16">
        <v>0.64785666464446434</v>
      </c>
      <c r="AI32" s="47">
        <v>-0.31201860903363449</v>
      </c>
      <c r="AJ32" s="16">
        <v>-0.31201860903363482</v>
      </c>
      <c r="AK32" s="16">
        <v>-0.3120186090336346</v>
      </c>
      <c r="AM32" s="16">
        <v>-254.2614663226303</v>
      </c>
      <c r="AN32" s="47">
        <v>32.825166666666668</v>
      </c>
      <c r="AO32" s="16">
        <v>1.6409166666666666</v>
      </c>
      <c r="AP32" s="16">
        <v>4.8024999999999993</v>
      </c>
      <c r="AQ32" s="16">
        <v>62.858249999999998</v>
      </c>
      <c r="AR32" s="16">
        <v>72.892499999999998</v>
      </c>
      <c r="AS32" s="47">
        <v>0.18755166095936068</v>
      </c>
      <c r="AT32" s="16">
        <v>9.3756308826834361E-3</v>
      </c>
      <c r="AU32" s="16">
        <v>2.7439825695446972E-2</v>
      </c>
      <c r="AV32" s="16">
        <v>0.35915032244056844</v>
      </c>
      <c r="AW32" s="16">
        <v>0.4164825600219404</v>
      </c>
      <c r="AX32" s="47">
        <v>-47.68716032677186</v>
      </c>
      <c r="AY32" s="16">
        <v>-2.383861655930827</v>
      </c>
      <c r="AZ32" s="16">
        <v>-6.976890316961736</v>
      </c>
      <c r="BA32" s="16">
        <v>-91.318087613984403</v>
      </c>
      <c r="BB32" s="16">
        <v>-105.89546640898145</v>
      </c>
      <c r="BC32" s="47">
        <v>1.075044005112272</v>
      </c>
      <c r="BD32" s="16">
        <v>1.4091793039985183</v>
      </c>
      <c r="BE32" s="16">
        <v>1.2348478437100419</v>
      </c>
      <c r="BF32" s="16">
        <v>1.3220135738542802</v>
      </c>
      <c r="BG32" s="16">
        <v>1.3074859521635738</v>
      </c>
      <c r="BH32" s="47">
        <v>0.45276216907063793</v>
      </c>
      <c r="BI32" s="16">
        <v>0.45276216907063749</v>
      </c>
      <c r="BJ32" s="16">
        <v>0.45276216907063754</v>
      </c>
      <c r="BK32" s="16">
        <v>0.45276216907063754</v>
      </c>
      <c r="BL32" s="16">
        <v>0.45276216907063749</v>
      </c>
      <c r="BM32" s="47">
        <v>1.9060510003207445</v>
      </c>
      <c r="BN32" s="16">
        <v>1.9060510003207436</v>
      </c>
      <c r="BO32" s="16">
        <v>1.9060510003207436</v>
      </c>
      <c r="BP32" s="16">
        <v>1.9060510003207436</v>
      </c>
      <c r="BQ32" s="16">
        <v>1.9060510003207436</v>
      </c>
      <c r="BT32" s="16">
        <v>-309.23903998933361</v>
      </c>
      <c r="BU32" s="47">
        <v>0.27194999999999997</v>
      </c>
      <c r="BV32" s="16">
        <v>35</v>
      </c>
      <c r="BW32" s="16">
        <v>216.03771000000003</v>
      </c>
      <c r="BX32" s="16">
        <v>67.770237499999993</v>
      </c>
      <c r="BY32" s="47">
        <v>8.522943693123129E-4</v>
      </c>
      <c r="BZ32" s="16">
        <v>0.1096903950208897</v>
      </c>
      <c r="CA32" s="16">
        <v>0.67706462140881196</v>
      </c>
      <c r="CB32" s="16">
        <v>0.21239268920098606</v>
      </c>
      <c r="CC32" s="47">
        <v>0.26356269255445419</v>
      </c>
      <c r="CD32" s="16">
        <v>33.920552452310709</v>
      </c>
      <c r="CE32" s="16">
        <v>209.37481353520263</v>
      </c>
      <c r="CF32" s="16">
        <v>65.680111309265826</v>
      </c>
      <c r="CG32" s="47">
        <v>0.71717739470599784</v>
      </c>
      <c r="CH32" s="16">
        <v>0.38766345659783663</v>
      </c>
      <c r="CI32" s="16">
        <v>1.7251023818603735</v>
      </c>
      <c r="CJ32" s="16">
        <v>0.59118677131170094</v>
      </c>
      <c r="CK32" s="47">
        <v>-3.0841358505408315E-2</v>
      </c>
      <c r="CL32" s="16">
        <v>-3.1822817426305321E-2</v>
      </c>
      <c r="CM32" s="16">
        <v>-3.1822817426305008E-2</v>
      </c>
      <c r="CN32" s="16">
        <v>-3.084135850540827E-2</v>
      </c>
      <c r="CO32" s="47">
        <v>1.3014443418576103</v>
      </c>
      <c r="CP32" s="16">
        <v>1.3014443418576103</v>
      </c>
      <c r="CQ32" s="16">
        <v>1.3014443418576105</v>
      </c>
      <c r="CR32" s="16">
        <v>1.3014443418576105</v>
      </c>
      <c r="CU32" s="16">
        <v>-69.972994170275953</v>
      </c>
      <c r="CV32" s="47">
        <v>10.418583333333332</v>
      </c>
      <c r="CW32" s="47">
        <v>2.0820132160756541</v>
      </c>
      <c r="CX32" s="47">
        <v>5.7161716647601741</v>
      </c>
      <c r="CY32" s="47">
        <v>9.5108001841060972</v>
      </c>
      <c r="DB32" s="16">
        <v>-107.83944100069962</v>
      </c>
      <c r="DC32" s="52">
        <v>3.9429411700438619</v>
      </c>
      <c r="DD32" s="47">
        <v>3.0648878041689303</v>
      </c>
      <c r="DE32" s="47">
        <v>4.0648878041689303</v>
      </c>
      <c r="DF32" s="47">
        <v>5.3332084427035049</v>
      </c>
      <c r="DI32" s="16">
        <v>-37.664360771458419</v>
      </c>
      <c r="DJ32" s="47">
        <v>29</v>
      </c>
      <c r="DK32" s="16">
        <v>24.33666666666667</v>
      </c>
      <c r="DL32" s="47">
        <v>0.54371601774889067</v>
      </c>
      <c r="DM32" s="16">
        <v>0.45628398225110933</v>
      </c>
      <c r="DN32" s="47">
        <v>-20.478716249714907</v>
      </c>
      <c r="DO32" s="16">
        <v>-17.185644521743512</v>
      </c>
      <c r="DP32" s="47">
        <v>0.61436148749144714</v>
      </c>
      <c r="DQ32" s="16">
        <v>2.1043646353155321</v>
      </c>
      <c r="DR32" s="47">
        <v>0.41610439084059891</v>
      </c>
      <c r="DS32" s="16">
        <v>0.41610439084059858</v>
      </c>
      <c r="DV32" s="16">
        <v>-49.243382359138039</v>
      </c>
      <c r="DW32" s="47">
        <v>1.6487739629175686</v>
      </c>
      <c r="DX32" s="47">
        <v>0.80740360232689257</v>
      </c>
      <c r="DY32" s="47">
        <v>1.223507993167491</v>
      </c>
      <c r="DZ32" s="47">
        <v>1.2371424339222976</v>
      </c>
    </row>
    <row r="33" spans="1:130" x14ac:dyDescent="0.35">
      <c r="A33" s="13">
        <v>43831</v>
      </c>
      <c r="B33" s="47">
        <v>-63.554037377377774</v>
      </c>
      <c r="C33" s="47">
        <v>24.889999999999997</v>
      </c>
      <c r="D33" s="16">
        <v>4.9837499999999997</v>
      </c>
      <c r="E33" s="16">
        <v>28.169708333333332</v>
      </c>
      <c r="F33" s="47">
        <v>0.4288166266224373</v>
      </c>
      <c r="G33" s="16">
        <v>8.586238902891008E-2</v>
      </c>
      <c r="H33" s="16">
        <v>0.48532098434865256</v>
      </c>
      <c r="I33" s="47">
        <v>-27.253027916403429</v>
      </c>
      <c r="J33" s="16">
        <v>-5.4569014816543024</v>
      </c>
      <c r="K33" s="16">
        <v>-30.844107979320039</v>
      </c>
      <c r="L33" s="47">
        <v>1.0401919052062378</v>
      </c>
      <c r="M33" s="16">
        <v>0.82120413568913508</v>
      </c>
      <c r="N33" s="16">
        <v>0.93069802044768646</v>
      </c>
      <c r="O33" s="47">
        <v>9.4938847585513561E-2</v>
      </c>
      <c r="P33" s="16">
        <v>9.493884758551345E-2</v>
      </c>
      <c r="Q33" s="16">
        <v>9.4938847585513506E-2</v>
      </c>
      <c r="R33" s="47">
        <v>1.4670009747886545</v>
      </c>
      <c r="S33" s="16">
        <v>1.4670009747886545</v>
      </c>
      <c r="T33" s="16">
        <v>1.4670009747886543</v>
      </c>
      <c r="V33" s="16">
        <v>-110.13787495583244</v>
      </c>
      <c r="W33" s="47">
        <v>69.524166666666659</v>
      </c>
      <c r="X33" s="16">
        <v>42.806249999999999</v>
      </c>
      <c r="Y33" s="16">
        <v>35.232499999999995</v>
      </c>
      <c r="Z33" s="47">
        <v>0.47114931201662574</v>
      </c>
      <c r="AA33" s="16">
        <v>0.29008812625123187</v>
      </c>
      <c r="AB33" s="16">
        <v>0.23876256173214253</v>
      </c>
      <c r="AC33" s="47">
        <v>-51.89138401241361</v>
      </c>
      <c r="AD33" s="16">
        <v>-31.94968977522991</v>
      </c>
      <c r="AE33" s="16">
        <v>-26.296801168188939</v>
      </c>
      <c r="AF33" s="47">
        <v>0.70906013225798592</v>
      </c>
      <c r="AG33" s="16">
        <v>0.55978431494051528</v>
      </c>
      <c r="AH33" s="16">
        <v>0.63442222359925071</v>
      </c>
      <c r="AI33" s="47">
        <v>-0.33980174146125869</v>
      </c>
      <c r="AJ33" s="16">
        <v>-0.33980174146125858</v>
      </c>
      <c r="AK33" s="16">
        <v>-0.33980174146125841</v>
      </c>
      <c r="AM33" s="16">
        <v>-247.04379809394067</v>
      </c>
      <c r="AN33" s="47">
        <v>33.268749999999997</v>
      </c>
      <c r="AO33" s="16">
        <v>1.6070833333333334</v>
      </c>
      <c r="AP33" s="16">
        <v>4.8024999999999993</v>
      </c>
      <c r="AQ33" s="16">
        <v>61.476750000000003</v>
      </c>
      <c r="AR33" s="16">
        <v>74.512333333333331</v>
      </c>
      <c r="AS33" s="47">
        <v>0.18938486505513019</v>
      </c>
      <c r="AT33" s="16">
        <v>9.1484429146175376E-3</v>
      </c>
      <c r="AU33" s="16">
        <v>2.7338592956671435E-2</v>
      </c>
      <c r="AV33" s="16">
        <v>0.34996102957814695</v>
      </c>
      <c r="AW33" s="16">
        <v>0.42416706949543381</v>
      </c>
      <c r="AX33" s="47">
        <v>-46.78635636472778</v>
      </c>
      <c r="AY33" s="16">
        <v>-2.2600660842727169</v>
      </c>
      <c r="AZ33" s="16">
        <v>-6.7538298385603666</v>
      </c>
      <c r="BA33" s="16">
        <v>-86.455701931851337</v>
      </c>
      <c r="BB33" s="16">
        <v>-104.78784387452845</v>
      </c>
      <c r="BC33" s="47">
        <v>1.0547365703113534</v>
      </c>
      <c r="BD33" s="16">
        <v>1.3359996557277145</v>
      </c>
      <c r="BE33" s="16">
        <v>1.1953681130195339</v>
      </c>
      <c r="BF33" s="16">
        <v>1.2516207301028062</v>
      </c>
      <c r="BG33" s="16">
        <v>1.2938101929152603</v>
      </c>
      <c r="BH33" s="47">
        <v>0.40631542708180451</v>
      </c>
      <c r="BI33" s="16">
        <v>0.40631542708180479</v>
      </c>
      <c r="BJ33" s="16">
        <v>0.40631542708180468</v>
      </c>
      <c r="BK33" s="16">
        <v>0.40631542708180468</v>
      </c>
      <c r="BL33" s="16">
        <v>0.40631542708180468</v>
      </c>
      <c r="BM33" s="47">
        <v>1.8841838582480355</v>
      </c>
      <c r="BN33" s="16">
        <v>1.8841838582480357</v>
      </c>
      <c r="BO33" s="16">
        <v>1.8841838582480355</v>
      </c>
      <c r="BP33" s="16">
        <v>1.8841838582480355</v>
      </c>
      <c r="BQ33" s="16">
        <v>1.8841838582480355</v>
      </c>
      <c r="BT33" s="16">
        <v>-306.49019046386792</v>
      </c>
      <c r="BU33" s="47">
        <v>0.27562500000000001</v>
      </c>
      <c r="BV33" s="16">
        <v>34.125</v>
      </c>
      <c r="BW33" s="16">
        <v>222.10618500000001</v>
      </c>
      <c r="BX33" s="16">
        <v>72.214187499999994</v>
      </c>
      <c r="BY33" s="47">
        <v>8.3847701271349423E-4</v>
      </c>
      <c r="BZ33" s="16">
        <v>0.10381143966928975</v>
      </c>
      <c r="CA33" s="16">
        <v>0.67566777507116804</v>
      </c>
      <c r="CB33" s="16">
        <v>0.21968230824682866</v>
      </c>
      <c r="CC33" s="47">
        <v>0.25698497932613384</v>
      </c>
      <c r="CD33" s="16">
        <v>31.817187916568951</v>
      </c>
      <c r="CE33" s="16">
        <v>207.08554507186017</v>
      </c>
      <c r="CF33" s="16">
        <v>67.330472496112662</v>
      </c>
      <c r="CG33" s="47">
        <v>0.69927885530920775</v>
      </c>
      <c r="CH33" s="16">
        <v>0.36362500476078802</v>
      </c>
      <c r="CI33" s="16">
        <v>1.7062404069544668</v>
      </c>
      <c r="CJ33" s="16">
        <v>0.60604167460131342</v>
      </c>
      <c r="CK33" s="47">
        <v>-6.7628192921056332E-2</v>
      </c>
      <c r="CL33" s="16">
        <v>-7.2533502630169444E-2</v>
      </c>
      <c r="CM33" s="16">
        <v>-7.25335026301695E-2</v>
      </c>
      <c r="CN33" s="16">
        <v>-6.7628192921056318E-2</v>
      </c>
      <c r="CO33" s="47">
        <v>1.3122479912570382</v>
      </c>
      <c r="CP33" s="16">
        <v>1.3122479912570382</v>
      </c>
      <c r="CQ33" s="16">
        <v>1.3122479912570379</v>
      </c>
      <c r="CR33" s="16">
        <v>1.3122479912570384</v>
      </c>
      <c r="CU33" s="16">
        <v>-67.639239442785751</v>
      </c>
      <c r="CV33" s="47">
        <v>10.0825</v>
      </c>
      <c r="CW33" s="47">
        <v>2.01257345230208</v>
      </c>
      <c r="CX33" s="47">
        <v>5.7085781743402668</v>
      </c>
      <c r="CY33" s="47">
        <v>9.6679868527520476</v>
      </c>
      <c r="DB33" s="16">
        <v>-107.80993401972668</v>
      </c>
      <c r="DC33" s="52">
        <v>3.9418623041947605</v>
      </c>
      <c r="DD33" s="47">
        <v>3.1493287412576425</v>
      </c>
      <c r="DE33" s="47">
        <v>4.1493287412576425</v>
      </c>
      <c r="DF33" s="47">
        <v>5.5592778734322419</v>
      </c>
      <c r="DI33" s="16">
        <v>-37.236776615999339</v>
      </c>
      <c r="DJ33" s="47">
        <v>29</v>
      </c>
      <c r="DK33" s="16">
        <v>24.66333333333333</v>
      </c>
      <c r="DL33" s="47">
        <v>0.54040623641219954</v>
      </c>
      <c r="DM33" s="16">
        <v>0.45959376358780046</v>
      </c>
      <c r="DN33" s="47">
        <v>-20.122986307174003</v>
      </c>
      <c r="DO33" s="16">
        <v>-17.113790308825337</v>
      </c>
      <c r="DP33" s="47">
        <v>0.60368958921522009</v>
      </c>
      <c r="DQ33" s="16">
        <v>2.095566160264327</v>
      </c>
      <c r="DR33" s="47">
        <v>0.441137988036163</v>
      </c>
      <c r="DS33" s="16">
        <v>0.44113798803616316</v>
      </c>
      <c r="DV33" s="16">
        <v>-48.487357108347695</v>
      </c>
      <c r="DW33" s="47">
        <v>1.6234606174669985</v>
      </c>
      <c r="DX33" s="47">
        <v>0.86022375135403617</v>
      </c>
      <c r="DY33" s="47">
        <v>1.3013617393901993</v>
      </c>
      <c r="DZ33" s="47">
        <v>1.2338108334416038</v>
      </c>
    </row>
    <row r="34" spans="1:130" x14ac:dyDescent="0.35">
      <c r="A34" s="13">
        <v>43862</v>
      </c>
      <c r="B34" s="47">
        <v>-55.448189795001319</v>
      </c>
      <c r="C34" s="47">
        <v>23.317999999999998</v>
      </c>
      <c r="D34" s="16">
        <v>4.5850499999999998</v>
      </c>
      <c r="E34" s="16">
        <v>27.175483333333332</v>
      </c>
      <c r="F34" s="47">
        <v>0.42335913084105364</v>
      </c>
      <c r="G34" s="16">
        <v>8.3245680712873027E-2</v>
      </c>
      <c r="H34" s="16">
        <v>0.49339518844607344</v>
      </c>
      <c r="I34" s="47">
        <v>-23.474497438321539</v>
      </c>
      <c r="J34" s="16">
        <v>-4.6158223037814645</v>
      </c>
      <c r="K34" s="16">
        <v>-27.357870052898321</v>
      </c>
      <c r="L34" s="47">
        <v>0.89597318466876108</v>
      </c>
      <c r="M34" s="16">
        <v>0.69463089597915206</v>
      </c>
      <c r="N34" s="16">
        <v>0.82550338362739772</v>
      </c>
      <c r="O34" s="47">
        <v>6.711443448046142E-3</v>
      </c>
      <c r="P34" s="16">
        <v>6.7114434480465461E-3</v>
      </c>
      <c r="Q34" s="16">
        <v>6.7114434480460656E-3</v>
      </c>
      <c r="R34" s="47">
        <v>1.3976198462758884</v>
      </c>
      <c r="S34" s="16">
        <v>1.3976198462758886</v>
      </c>
      <c r="T34" s="16">
        <v>1.3976198462758878</v>
      </c>
      <c r="V34" s="16">
        <v>-99.764952710312286</v>
      </c>
      <c r="W34" s="47">
        <v>65.133166666666668</v>
      </c>
      <c r="X34" s="16">
        <v>39.381749999999997</v>
      </c>
      <c r="Y34" s="16">
        <v>33.988999999999997</v>
      </c>
      <c r="Z34" s="47">
        <v>0.47026227296821327</v>
      </c>
      <c r="AA34" s="16">
        <v>0.28433672453306069</v>
      </c>
      <c r="AB34" s="16">
        <v>0.24540100249872596</v>
      </c>
      <c r="AC34" s="47">
        <v>-46.915693424117762</v>
      </c>
      <c r="AD34" s="16">
        <v>-28.366839876845891</v>
      </c>
      <c r="AE34" s="16">
        <v>-24.482419409348623</v>
      </c>
      <c r="AF34" s="47">
        <v>0.6410707368360431</v>
      </c>
      <c r="AG34" s="16">
        <v>0.49700989709760651</v>
      </c>
      <c r="AH34" s="16">
        <v>0.59064944292759047</v>
      </c>
      <c r="AI34" s="47">
        <v>-0.38830233367464057</v>
      </c>
      <c r="AJ34" s="16">
        <v>-0.38830233367464029</v>
      </c>
      <c r="AK34" s="16">
        <v>-0.38830233367464001</v>
      </c>
      <c r="AM34" s="16">
        <v>-217.7946894389236</v>
      </c>
      <c r="AN34" s="47">
        <v>30.607249999999993</v>
      </c>
      <c r="AO34" s="16">
        <v>1.5055833333333333</v>
      </c>
      <c r="AP34" s="16">
        <v>4.633</v>
      </c>
      <c r="AQ34" s="16">
        <v>57.332249999999995</v>
      </c>
      <c r="AR34" s="16">
        <v>68.842916666666667</v>
      </c>
      <c r="AS34" s="47">
        <v>0.18786559129885033</v>
      </c>
      <c r="AT34" s="16">
        <v>9.2411864236859181E-3</v>
      </c>
      <c r="AU34" s="16">
        <v>2.8437095279307149E-2</v>
      </c>
      <c r="AV34" s="16">
        <v>0.35190214889424937</v>
      </c>
      <c r="AW34" s="16">
        <v>0.42255397810390721</v>
      </c>
      <c r="AX34" s="47">
        <v>-40.916128113192855</v>
      </c>
      <c r="AY34" s="16">
        <v>-2.0126813271938717</v>
      </c>
      <c r="AZ34" s="16">
        <v>-6.193448334901781</v>
      </c>
      <c r="BA34" s="16">
        <v>-76.642419231312886</v>
      </c>
      <c r="BB34" s="16">
        <v>-92.030012432322195</v>
      </c>
      <c r="BC34" s="47">
        <v>0.92240003261002124</v>
      </c>
      <c r="BD34" s="16">
        <v>1.1897623609027812</v>
      </c>
      <c r="BE34" s="16">
        <v>1.0961855460003151</v>
      </c>
      <c r="BF34" s="16">
        <v>1.1095536624149531</v>
      </c>
      <c r="BG34" s="16">
        <v>1.1362898952442291</v>
      </c>
      <c r="BH34" s="47">
        <v>0.33681164146379899</v>
      </c>
      <c r="BI34" s="16">
        <v>0.33681164146379911</v>
      </c>
      <c r="BJ34" s="16">
        <v>0.33681164146379905</v>
      </c>
      <c r="BK34" s="16">
        <v>0.33681164146379899</v>
      </c>
      <c r="BL34" s="16">
        <v>0.33681164146379894</v>
      </c>
      <c r="BM34" s="47">
        <v>1.8558987215276186</v>
      </c>
      <c r="BN34" s="16">
        <v>1.855898721527619</v>
      </c>
      <c r="BO34" s="16">
        <v>1.8558987215276184</v>
      </c>
      <c r="BP34" s="16">
        <v>1.8558987215276188</v>
      </c>
      <c r="BQ34" s="16">
        <v>1.855898721527619</v>
      </c>
      <c r="BT34" s="16">
        <v>-294.60137127202216</v>
      </c>
      <c r="BU34" s="47">
        <v>0.25357499999999999</v>
      </c>
      <c r="BV34" s="16">
        <v>30.625</v>
      </c>
      <c r="BW34" s="16">
        <v>211.18293000000003</v>
      </c>
      <c r="BX34" s="16">
        <v>58.882337499999998</v>
      </c>
      <c r="BY34" s="47">
        <v>8.4259906397652902E-4</v>
      </c>
      <c r="BZ34" s="16">
        <v>0.10176317197784167</v>
      </c>
      <c r="CA34" s="16">
        <v>0.70173534120406544</v>
      </c>
      <c r="CB34" s="16">
        <v>0.19565888775411644</v>
      </c>
      <c r="CC34" s="47">
        <v>0.24823083968000778</v>
      </c>
      <c r="CD34" s="16">
        <v>29.979570009662776</v>
      </c>
      <c r="CE34" s="16">
        <v>206.73219378875802</v>
      </c>
      <c r="CF34" s="16">
        <v>57.641376633921368</v>
      </c>
      <c r="CG34" s="47">
        <v>0.67545806715648371</v>
      </c>
      <c r="CH34" s="16">
        <v>0.34262365725328886</v>
      </c>
      <c r="CI34" s="16">
        <v>1.7033290389163505</v>
      </c>
      <c r="CJ34" s="16">
        <v>0.51883010955498032</v>
      </c>
      <c r="CK34" s="47">
        <v>-2.1075264990603242E-2</v>
      </c>
      <c r="CL34" s="16">
        <v>-2.1528994249390268E-2</v>
      </c>
      <c r="CM34" s="16">
        <v>-2.1528994249390251E-2</v>
      </c>
      <c r="CN34" s="16">
        <v>-2.1075264990603214E-2</v>
      </c>
      <c r="CO34" s="47">
        <v>1.3796745923015536</v>
      </c>
      <c r="CP34" s="16">
        <v>1.3796745923015536</v>
      </c>
      <c r="CQ34" s="16">
        <v>1.3796745923015536</v>
      </c>
      <c r="CR34" s="16">
        <v>1.3796745923015536</v>
      </c>
      <c r="CU34" s="16">
        <v>-65.941963277338331</v>
      </c>
      <c r="CV34" s="47">
        <v>8.7381666666666664</v>
      </c>
      <c r="CW34" s="47">
        <v>1.9620718059212989</v>
      </c>
      <c r="CX34" s="47">
        <v>6.546430022774226</v>
      </c>
      <c r="CY34" s="47">
        <v>10.856068906366563</v>
      </c>
      <c r="DB34" s="16">
        <v>-107.7884743972009</v>
      </c>
      <c r="DC34" s="52">
        <v>3.9410776744863218</v>
      </c>
      <c r="DD34" s="47">
        <v>3.4281771623441815</v>
      </c>
      <c r="DE34" s="47">
        <v>4.4281771623441815</v>
      </c>
      <c r="DF34" s="47">
        <v>6.147648688407175</v>
      </c>
      <c r="DI34" s="16">
        <v>-35.742666865362423</v>
      </c>
      <c r="DJ34" s="47">
        <v>27</v>
      </c>
      <c r="DK34" s="16">
        <v>24.418333333333337</v>
      </c>
      <c r="DL34" s="47">
        <v>0.52510453469903728</v>
      </c>
      <c r="DM34" s="16">
        <v>0.47489546530096272</v>
      </c>
      <c r="DN34" s="47">
        <v>-18.768636453238834</v>
      </c>
      <c r="DO34" s="16">
        <v>-16.974030412123589</v>
      </c>
      <c r="DP34" s="47">
        <v>0.56305909359716511</v>
      </c>
      <c r="DQ34" s="16">
        <v>2.0784527035253375</v>
      </c>
      <c r="DR34" s="47">
        <v>0.43857014159069119</v>
      </c>
      <c r="DS34" s="16">
        <v>0.43857014159069146</v>
      </c>
      <c r="DV34" s="16">
        <v>-47.608391894584713</v>
      </c>
      <c r="DW34" s="47">
        <v>1.5940309786133275</v>
      </c>
      <c r="DX34" s="47">
        <v>0.87574773647187709</v>
      </c>
      <c r="DY34" s="47">
        <v>1.3143178780625686</v>
      </c>
      <c r="DZ34" s="47">
        <v>1.239815745818285</v>
      </c>
    </row>
    <row r="35" spans="1:130" x14ac:dyDescent="0.35">
      <c r="A35" s="13">
        <v>43891</v>
      </c>
      <c r="B35" s="47">
        <v>-47.664238482867901</v>
      </c>
      <c r="C35" s="47">
        <v>21.745999999999995</v>
      </c>
      <c r="D35" s="16">
        <v>3.5883000000000003</v>
      </c>
      <c r="E35" s="16">
        <v>26.181258333333332</v>
      </c>
      <c r="F35" s="47">
        <v>0.42212490174893758</v>
      </c>
      <c r="G35" s="16">
        <v>6.9654685226971089E-2</v>
      </c>
      <c r="H35" s="16">
        <v>0.50822041302409127</v>
      </c>
      <c r="I35" s="47">
        <v>-20.120261986518543</v>
      </c>
      <c r="J35" s="16">
        <v>-3.3200375281074455</v>
      </c>
      <c r="K35" s="16">
        <v>-24.22393896824191</v>
      </c>
      <c r="L35" s="47">
        <v>0.76794893078315041</v>
      </c>
      <c r="M35" s="16">
        <v>0.49962942484686917</v>
      </c>
      <c r="N35" s="16">
        <v>0.73093934375745662</v>
      </c>
      <c r="O35" s="47">
        <v>-7.4760324357650065E-2</v>
      </c>
      <c r="P35" s="16">
        <v>-7.4760324357649732E-2</v>
      </c>
      <c r="Q35" s="16">
        <v>-7.4760324357649899E-2</v>
      </c>
      <c r="R35" s="47">
        <v>1.7123786948591859</v>
      </c>
      <c r="S35" s="16">
        <v>1.7123786948591866</v>
      </c>
      <c r="T35" s="16">
        <v>1.7123786948591868</v>
      </c>
      <c r="V35" s="16">
        <v>-67.166712685490324</v>
      </c>
      <c r="W35" s="47">
        <v>60.742166666666662</v>
      </c>
      <c r="X35" s="16">
        <v>30.820499999999999</v>
      </c>
      <c r="Y35" s="16">
        <v>32.7455</v>
      </c>
      <c r="Z35" s="47">
        <v>0.48864180283140418</v>
      </c>
      <c r="AA35" s="16">
        <v>0.24793624446771398</v>
      </c>
      <c r="AB35" s="16">
        <v>0.26342195270088181</v>
      </c>
      <c r="AC35" s="47">
        <v>-32.820463576896934</v>
      </c>
      <c r="AD35" s="16">
        <v>-16.653062496482434</v>
      </c>
      <c r="AE35" s="16">
        <v>-17.693186612110949</v>
      </c>
      <c r="AF35" s="47">
        <v>0.44846909920606148</v>
      </c>
      <c r="AG35" s="16">
        <v>0.2917750765918955</v>
      </c>
      <c r="AH35" s="16">
        <v>0.42685613056962479</v>
      </c>
      <c r="AI35" s="47">
        <v>-0.85074066746042099</v>
      </c>
      <c r="AJ35" s="16">
        <v>-0.85074066746042065</v>
      </c>
      <c r="AK35" s="16">
        <v>-0.8507406674604211</v>
      </c>
      <c r="AM35" s="16">
        <v>-188.48367617207413</v>
      </c>
      <c r="AN35" s="47">
        <v>23.953500000000002</v>
      </c>
      <c r="AO35" s="16">
        <v>1.4040833333333333</v>
      </c>
      <c r="AP35" s="16">
        <v>4.4634999999999998</v>
      </c>
      <c r="AQ35" s="16">
        <v>53.187750000000001</v>
      </c>
      <c r="AR35" s="16">
        <v>53.454500000000003</v>
      </c>
      <c r="AS35" s="47">
        <v>0.17553066757859254</v>
      </c>
      <c r="AT35" s="16">
        <v>1.0289088644080216E-2</v>
      </c>
      <c r="AU35" s="16">
        <v>3.2708419844158378E-2</v>
      </c>
      <c r="AV35" s="16">
        <v>0.38975854319841713</v>
      </c>
      <c r="AW35" s="16">
        <v>0.3917132807347517</v>
      </c>
      <c r="AX35" s="47">
        <v>-33.084665506151424</v>
      </c>
      <c r="AY35" s="16">
        <v>-1.9393252520965807</v>
      </c>
      <c r="AZ35" s="16">
        <v>-6.1650032140065907</v>
      </c>
      <c r="BA35" s="16">
        <v>-73.463123041509817</v>
      </c>
      <c r="BB35" s="16">
        <v>-73.831559158309702</v>
      </c>
      <c r="BC35" s="47">
        <v>0.74585005837651153</v>
      </c>
      <c r="BD35" s="16">
        <v>1.1463991638009343</v>
      </c>
      <c r="BE35" s="16">
        <v>1.0911510113286</v>
      </c>
      <c r="BF35" s="16">
        <v>1.063526935092433</v>
      </c>
      <c r="BG35" s="16">
        <v>0.91159451579351425</v>
      </c>
      <c r="BH35" s="47">
        <v>0.38120381180835461</v>
      </c>
      <c r="BI35" s="16">
        <v>0.38120381180835466</v>
      </c>
      <c r="BJ35" s="16">
        <v>0.38120381180835444</v>
      </c>
      <c r="BK35" s="16">
        <v>0.38120381180835455</v>
      </c>
      <c r="BL35" s="16">
        <v>0.38120381180835483</v>
      </c>
      <c r="BM35" s="47">
        <v>2.5562500645650714</v>
      </c>
      <c r="BN35" s="16">
        <v>2.5562500645650719</v>
      </c>
      <c r="BO35" s="16">
        <v>2.5562500645650719</v>
      </c>
      <c r="BP35" s="16">
        <v>2.5562500645650719</v>
      </c>
      <c r="BQ35" s="16">
        <v>2.5562500645650719</v>
      </c>
      <c r="BT35" s="16">
        <v>-264.75800270695908</v>
      </c>
      <c r="BU35" s="47">
        <v>0.19845000000000002</v>
      </c>
      <c r="BV35" s="16">
        <v>19.25</v>
      </c>
      <c r="BW35" s="16">
        <v>212.396625</v>
      </c>
      <c r="BX35" s="16">
        <v>38.884562499999994</v>
      </c>
      <c r="BY35" s="47">
        <v>7.3301911764278116E-4</v>
      </c>
      <c r="BZ35" s="16">
        <v>7.1104147214026386E-2</v>
      </c>
      <c r="CA35" s="16">
        <v>0.78453407229934324</v>
      </c>
      <c r="CB35" s="16">
        <v>0.1436287613689875</v>
      </c>
      <c r="CC35" s="47">
        <v>0.19407267753312021</v>
      </c>
      <c r="CD35" s="16">
        <v>18.825392000567213</v>
      </c>
      <c r="CE35" s="16">
        <v>207.71167403753114</v>
      </c>
      <c r="CF35" s="16">
        <v>38.026863991327573</v>
      </c>
      <c r="CG35" s="47">
        <v>0.52808891845746997</v>
      </c>
      <c r="CH35" s="16">
        <v>0.21514733714933956</v>
      </c>
      <c r="CI35" s="16">
        <v>1.7113992727788374</v>
      </c>
      <c r="CJ35" s="16">
        <v>0.34227985455576754</v>
      </c>
      <c r="CK35" s="47">
        <v>-2.2057558412092716E-2</v>
      </c>
      <c r="CL35" s="16">
        <v>-2.255506814519426E-2</v>
      </c>
      <c r="CM35" s="16">
        <v>-2.2555068145194267E-2</v>
      </c>
      <c r="CN35" s="16">
        <v>-2.2057558412092688E-2</v>
      </c>
      <c r="CO35" s="47">
        <v>1.8314888696112668</v>
      </c>
      <c r="CP35" s="16">
        <v>1.8314888696112668</v>
      </c>
      <c r="CQ35" s="16">
        <v>1.8314888696112666</v>
      </c>
      <c r="CR35" s="16">
        <v>1.8314888696112672</v>
      </c>
      <c r="CU35" s="16">
        <v>-65.49407095590081</v>
      </c>
      <c r="CV35" s="47">
        <v>7.3938333333333333</v>
      </c>
      <c r="CW35" s="47">
        <v>1.948744982570815</v>
      </c>
      <c r="CX35" s="47">
        <v>7.8579317389582499</v>
      </c>
      <c r="CY35" s="47">
        <v>13.005306768953638</v>
      </c>
      <c r="DB35" s="16">
        <v>-107.7828114412566</v>
      </c>
      <c r="DC35" s="52">
        <v>3.9408706194243734</v>
      </c>
      <c r="DD35" s="47">
        <v>3.7480368908727391</v>
      </c>
      <c r="DE35" s="47">
        <v>4.7480368908727391</v>
      </c>
      <c r="DF35" s="47">
        <v>8.7873849645405144</v>
      </c>
      <c r="DI35" s="16">
        <v>-35.123260425425826</v>
      </c>
      <c r="DJ35" s="47">
        <v>26.333333333333332</v>
      </c>
      <c r="DK35" s="16">
        <v>25.234999999999999</v>
      </c>
      <c r="DL35" s="47">
        <v>0.51064930028118038</v>
      </c>
      <c r="DM35" s="16">
        <v>0.48935069971881973</v>
      </c>
      <c r="DN35" s="47">
        <v>-17.935668359837372</v>
      </c>
      <c r="DO35" s="16">
        <v>-17.187592065588458</v>
      </c>
      <c r="DP35" s="47">
        <v>0.53807005079512116</v>
      </c>
      <c r="DQ35" s="16">
        <v>2.1046031100720559</v>
      </c>
      <c r="DR35" s="47">
        <v>0.46821031728600199</v>
      </c>
      <c r="DS35" s="16">
        <v>0.46821031728600204</v>
      </c>
      <c r="DV35" s="16">
        <v>-47.269602426464026</v>
      </c>
      <c r="DW35" s="47">
        <v>1.5826875812432153</v>
      </c>
      <c r="DX35" s="47">
        <v>0.95237521076192255</v>
      </c>
      <c r="DY35" s="47">
        <v>1.4205855280479245</v>
      </c>
      <c r="DZ35" s="47">
        <v>1.2458498015667265</v>
      </c>
    </row>
    <row r="36" spans="1:130" x14ac:dyDescent="0.35">
      <c r="A36" s="13">
        <v>43922</v>
      </c>
      <c r="B36" s="47">
        <v>-37.714134440883953</v>
      </c>
      <c r="C36" s="47">
        <v>19.125999999999998</v>
      </c>
      <c r="D36" s="16">
        <v>2.5915499999999998</v>
      </c>
      <c r="E36" s="16">
        <v>23.8614</v>
      </c>
      <c r="F36" s="47">
        <v>0.41962353235429956</v>
      </c>
      <c r="G36" s="16">
        <v>5.6858484015099083E-2</v>
      </c>
      <c r="H36" s="16">
        <v>0.52351798363060154</v>
      </c>
      <c r="I36" s="47">
        <v>-15.825738313768671</v>
      </c>
      <c r="J36" s="16">
        <v>-2.1443685102502981</v>
      </c>
      <c r="K36" s="16">
        <v>-19.74402761686499</v>
      </c>
      <c r="L36" s="47">
        <v>0.60403581350262114</v>
      </c>
      <c r="M36" s="16">
        <v>0.32270406474797564</v>
      </c>
      <c r="N36" s="16">
        <v>0.59576135030395505</v>
      </c>
      <c r="O36" s="47">
        <v>-0.17255368013339567</v>
      </c>
      <c r="P36" s="16">
        <v>-0.17255368013339584</v>
      </c>
      <c r="Q36" s="16">
        <v>-0.17255368013339573</v>
      </c>
      <c r="R36" s="47">
        <v>1.7691466737619761</v>
      </c>
      <c r="S36" s="16">
        <v>1.7691466737619759</v>
      </c>
      <c r="T36" s="16">
        <v>1.7691466737619757</v>
      </c>
      <c r="V36" s="16">
        <v>-49.355996337345545</v>
      </c>
      <c r="W36" s="47">
        <v>53.423833333333334</v>
      </c>
      <c r="X36" s="16">
        <v>22.259249999999998</v>
      </c>
      <c r="Y36" s="16">
        <v>29.843999999999998</v>
      </c>
      <c r="Z36" s="47">
        <v>0.50625708250251722</v>
      </c>
      <c r="AA36" s="16">
        <v>0.21093400193473238</v>
      </c>
      <c r="AB36" s="16">
        <v>0.28280891556275051</v>
      </c>
      <c r="AC36" s="47">
        <v>-24.986822709749482</v>
      </c>
      <c r="AD36" s="16">
        <v>-10.41085782691229</v>
      </c>
      <c r="AE36" s="16">
        <v>-13.95831580068378</v>
      </c>
      <c r="AF36" s="47">
        <v>0.34142777558300358</v>
      </c>
      <c r="AG36" s="16">
        <v>0.18240661983201559</v>
      </c>
      <c r="AH36" s="16">
        <v>0.33675068276679809</v>
      </c>
      <c r="AI36" s="47">
        <v>-1.1380802975197069</v>
      </c>
      <c r="AJ36" s="16">
        <v>-1.1380802975197073</v>
      </c>
      <c r="AK36" s="16">
        <v>-1.1380802975197066</v>
      </c>
      <c r="AM36" s="16">
        <v>-151.88725000698255</v>
      </c>
      <c r="AN36" s="47">
        <v>17.29975</v>
      </c>
      <c r="AO36" s="16">
        <v>1.2349166666666667</v>
      </c>
      <c r="AP36" s="16">
        <v>4.0679999999999996</v>
      </c>
      <c r="AQ36" s="16">
        <v>46.971000000000004</v>
      </c>
      <c r="AR36" s="16">
        <v>44.545416666666675</v>
      </c>
      <c r="AS36" s="47">
        <v>0.1515938394761612</v>
      </c>
      <c r="AT36" s="16">
        <v>1.0821298512007558E-2</v>
      </c>
      <c r="AU36" s="16">
        <v>3.5646974030782166E-2</v>
      </c>
      <c r="AV36" s="16">
        <v>0.41159636607666406</v>
      </c>
      <c r="AW36" s="16">
        <v>0.39034152190438498</v>
      </c>
      <c r="AX36" s="47">
        <v>-23.025171396034079</v>
      </c>
      <c r="AY36" s="16">
        <v>-1.6436172724934803</v>
      </c>
      <c r="AZ36" s="16">
        <v>-5.4143208566058254</v>
      </c>
      <c r="BA36" s="16">
        <v>-62.51624015625179</v>
      </c>
      <c r="BB36" s="16">
        <v>-59.287900325597377</v>
      </c>
      <c r="BC36" s="47">
        <v>0.51907205852415739</v>
      </c>
      <c r="BD36" s="16">
        <v>0.97159641723752521</v>
      </c>
      <c r="BE36" s="16">
        <v>0.95828687727536743</v>
      </c>
      <c r="BF36" s="16">
        <v>0.90504871742673598</v>
      </c>
      <c r="BG36" s="16">
        <v>0.73202469791868352</v>
      </c>
      <c r="BH36" s="47">
        <v>0.33095399621578814</v>
      </c>
      <c r="BI36" s="16">
        <v>0.33095399621578797</v>
      </c>
      <c r="BJ36" s="16">
        <v>0.33095399621578814</v>
      </c>
      <c r="BK36" s="16">
        <v>0.33095399621578814</v>
      </c>
      <c r="BL36" s="16">
        <v>0.33095399621578814</v>
      </c>
      <c r="BM36" s="47">
        <v>2.8456865162140956</v>
      </c>
      <c r="BN36" s="16">
        <v>2.8456865162140952</v>
      </c>
      <c r="BO36" s="16">
        <v>2.8456865162140947</v>
      </c>
      <c r="BP36" s="16">
        <v>2.8456865162140952</v>
      </c>
      <c r="BQ36" s="16">
        <v>2.8456865162140952</v>
      </c>
      <c r="BT36" s="16">
        <v>-259.00878829933623</v>
      </c>
      <c r="BU36" s="47">
        <v>0.14332500000000001</v>
      </c>
      <c r="BV36" s="16">
        <v>13.125</v>
      </c>
      <c r="BW36" s="16">
        <v>211.18293000000003</v>
      </c>
      <c r="BX36" s="16">
        <v>27.774687499999999</v>
      </c>
      <c r="BY36" s="47">
        <v>5.6824051713078635E-4</v>
      </c>
      <c r="BZ36" s="16">
        <v>5.2036677392929151E-2</v>
      </c>
      <c r="CA36" s="16">
        <v>0.83727679994693649</v>
      </c>
      <c r="CB36" s="16">
        <v>0.11011828214300357</v>
      </c>
      <c r="CC36" s="47">
        <v>0.14717928780463319</v>
      </c>
      <c r="CD36" s="16">
        <v>13.477956758666043</v>
      </c>
      <c r="CE36" s="16">
        <v>216.86204942540178</v>
      </c>
      <c r="CF36" s="16">
        <v>28.521602827463788</v>
      </c>
      <c r="CG36" s="47">
        <v>0.40048785797179098</v>
      </c>
      <c r="CH36" s="16">
        <v>0.1540337915276119</v>
      </c>
      <c r="CI36" s="16">
        <v>1.7867919817202982</v>
      </c>
      <c r="CJ36" s="16">
        <v>0.25672298587935316</v>
      </c>
      <c r="CK36" s="47">
        <v>2.6891943517412743E-2</v>
      </c>
      <c r="CL36" s="16">
        <v>2.6187705227581931E-2</v>
      </c>
      <c r="CM36" s="16">
        <v>2.6187705227581966E-2</v>
      </c>
      <c r="CN36" s="16">
        <v>2.6891943517412642E-2</v>
      </c>
      <c r="CO36" s="47">
        <v>2.1679623119727438</v>
      </c>
      <c r="CP36" s="16">
        <v>2.1679623119727438</v>
      </c>
      <c r="CQ36" s="16">
        <v>2.1679623119727438</v>
      </c>
      <c r="CR36" s="16">
        <v>2.1679623119727434</v>
      </c>
      <c r="CU36" s="16">
        <v>-64.079674151361289</v>
      </c>
      <c r="CV36" s="47">
        <v>5.7134166666666673</v>
      </c>
      <c r="CW36" s="47">
        <v>1.9066602772534975</v>
      </c>
      <c r="CX36" s="47">
        <v>10.215648689726455</v>
      </c>
      <c r="CY36" s="47">
        <v>16.761257269370457</v>
      </c>
      <c r="DB36" s="16">
        <v>-107.76492842248513</v>
      </c>
      <c r="DC36" s="52">
        <v>3.9402167613340087</v>
      </c>
      <c r="DD36" s="47">
        <v>4.3975572073068614</v>
      </c>
      <c r="DE36" s="47">
        <v>5.3975572073068614</v>
      </c>
      <c r="DF36" s="47">
        <v>11.540410719678292</v>
      </c>
      <c r="DI36" s="16">
        <v>-33.341078162117284</v>
      </c>
      <c r="DJ36" s="47">
        <v>25</v>
      </c>
      <c r="DK36" s="16">
        <v>24.826666666666668</v>
      </c>
      <c r="DL36" s="47">
        <v>0.50173936312550171</v>
      </c>
      <c r="DM36" s="16">
        <v>0.49826063687449829</v>
      </c>
      <c r="DN36" s="47">
        <v>-16.728531322978299</v>
      </c>
      <c r="DO36" s="16">
        <v>-16.612546839138986</v>
      </c>
      <c r="DP36" s="47">
        <v>0.50185593968934894</v>
      </c>
      <c r="DQ36" s="16">
        <v>2.0341894088741617</v>
      </c>
      <c r="DR36" s="47">
        <v>0.49445277157475376</v>
      </c>
      <c r="DS36" s="16">
        <v>0.49445277157475331</v>
      </c>
      <c r="DV36" s="16">
        <v>-45.144555894035236</v>
      </c>
      <c r="DW36" s="47">
        <v>1.5115364696663587</v>
      </c>
      <c r="DX36" s="47">
        <v>1.0111985790663847</v>
      </c>
      <c r="DY36" s="47">
        <v>1.505651350641138</v>
      </c>
      <c r="DZ36" s="47">
        <v>1.2819984939354452</v>
      </c>
    </row>
    <row r="37" spans="1:130" x14ac:dyDescent="0.35">
      <c r="A37" s="13">
        <v>43952</v>
      </c>
      <c r="B37" s="47">
        <v>-35.469026022105886</v>
      </c>
      <c r="C37" s="47">
        <v>18.34</v>
      </c>
      <c r="D37" s="16">
        <v>2.3921999999999999</v>
      </c>
      <c r="E37" s="16">
        <v>22.204358333333335</v>
      </c>
      <c r="F37" s="47">
        <v>0.42714182766162551</v>
      </c>
      <c r="G37" s="16">
        <v>5.5714759003933509E-2</v>
      </c>
      <c r="H37" s="16">
        <v>0.51714341333444092</v>
      </c>
      <c r="I37" s="47">
        <v>-15.150304600460062</v>
      </c>
      <c r="J37" s="16">
        <v>-1.9761482369258758</v>
      </c>
      <c r="K37" s="16">
        <v>-18.342573184719946</v>
      </c>
      <c r="L37" s="47">
        <v>0.57825590078091849</v>
      </c>
      <c r="M37" s="16">
        <v>0.29738874897304379</v>
      </c>
      <c r="N37" s="16">
        <v>0.55347350503316495</v>
      </c>
      <c r="O37" s="47">
        <v>-0.17392014174154496</v>
      </c>
      <c r="P37" s="16">
        <v>-0.17392014174154499</v>
      </c>
      <c r="Q37" s="16">
        <v>-0.17392014174154491</v>
      </c>
      <c r="R37" s="47">
        <v>1.2833729850380498</v>
      </c>
      <c r="S37" s="16">
        <v>1.2833729850380495</v>
      </c>
      <c r="T37" s="16">
        <v>1.2833729850380498</v>
      </c>
      <c r="V37" s="16">
        <v>-64.076176550996962</v>
      </c>
      <c r="W37" s="47">
        <v>51.228333333333332</v>
      </c>
      <c r="X37" s="16">
        <v>20.547000000000001</v>
      </c>
      <c r="Y37" s="16">
        <v>27.7715</v>
      </c>
      <c r="Z37" s="47">
        <v>0.51461539878214768</v>
      </c>
      <c r="AA37" s="16">
        <v>0.20640536029105228</v>
      </c>
      <c r="AB37" s="16">
        <v>0.27897924092679993</v>
      </c>
      <c r="AC37" s="47">
        <v>-32.974587148226604</v>
      </c>
      <c r="AD37" s="16">
        <v>-13.225666307081603</v>
      </c>
      <c r="AE37" s="16">
        <v>-17.875923095688751</v>
      </c>
      <c r="AF37" s="47">
        <v>0.4505750919821444</v>
      </c>
      <c r="AG37" s="16">
        <v>0.23172433301938861</v>
      </c>
      <c r="AH37" s="16">
        <v>0.43126473089719541</v>
      </c>
      <c r="AI37" s="47">
        <v>-0.55357012062206912</v>
      </c>
      <c r="AJ37" s="16">
        <v>-0.55357012062206878</v>
      </c>
      <c r="AK37" s="16">
        <v>-0.55357012062206912</v>
      </c>
      <c r="AM37" s="16">
        <v>-144.61702125881254</v>
      </c>
      <c r="AN37" s="47">
        <v>15.968999999999999</v>
      </c>
      <c r="AO37" s="16">
        <v>1.1841666666666666</v>
      </c>
      <c r="AP37" s="16">
        <v>3.7855000000000003</v>
      </c>
      <c r="AQ37" s="16">
        <v>41.445</v>
      </c>
      <c r="AR37" s="16">
        <v>44.545416666666675</v>
      </c>
      <c r="AS37" s="47">
        <v>0.14934197041808858</v>
      </c>
      <c r="AT37" s="16">
        <v>1.1074317947487001E-2</v>
      </c>
      <c r="AU37" s="16">
        <v>3.5401968126850425E-2</v>
      </c>
      <c r="AV37" s="16">
        <v>0.38759333483484765</v>
      </c>
      <c r="AW37" s="16">
        <v>0.41658840867272623</v>
      </c>
      <c r="AX37" s="47">
        <v>-21.59739091078567</v>
      </c>
      <c r="AY37" s="16">
        <v>-1.6015348740385769</v>
      </c>
      <c r="AZ37" s="16">
        <v>-5.1197271772045321</v>
      </c>
      <c r="BA37" s="16">
        <v>-56.052593543585211</v>
      </c>
      <c r="BB37" s="16">
        <v>-60.245774753198539</v>
      </c>
      <c r="BC37" s="47">
        <v>0.48688463447196706</v>
      </c>
      <c r="BD37" s="16">
        <v>0.94672012258438043</v>
      </c>
      <c r="BE37" s="16">
        <v>0.9061464030450499</v>
      </c>
      <c r="BF37" s="16">
        <v>0.81147439078661177</v>
      </c>
      <c r="BG37" s="16">
        <v>0.74385152488772754</v>
      </c>
      <c r="BH37" s="47">
        <v>0.35245731797768631</v>
      </c>
      <c r="BI37" s="16">
        <v>0.35245731797768642</v>
      </c>
      <c r="BJ37" s="16">
        <v>0.35245731797768631</v>
      </c>
      <c r="BK37" s="16">
        <v>0.35245731797768631</v>
      </c>
      <c r="BL37" s="16">
        <v>0.35245731797768631</v>
      </c>
      <c r="BM37" s="47">
        <v>2.1011372786267941</v>
      </c>
      <c r="BN37" s="16">
        <v>2.1011372786267941</v>
      </c>
      <c r="BO37" s="16">
        <v>2.1011372786267941</v>
      </c>
      <c r="BP37" s="16">
        <v>2.1011372786267941</v>
      </c>
      <c r="BQ37" s="16">
        <v>2.1011372786267941</v>
      </c>
      <c r="BT37" s="16">
        <v>-274.08868013145923</v>
      </c>
      <c r="BU37" s="47">
        <v>0.1323</v>
      </c>
      <c r="BV37" s="16">
        <v>18.375</v>
      </c>
      <c r="BW37" s="16">
        <v>202.68706500000005</v>
      </c>
      <c r="BX37" s="16">
        <v>28.885675000000003</v>
      </c>
      <c r="BY37" s="47">
        <v>5.290306255549222E-4</v>
      </c>
      <c r="BZ37" s="16">
        <v>7.3476475771516975E-2</v>
      </c>
      <c r="CA37" s="16">
        <v>0.81048877391414365</v>
      </c>
      <c r="CB37" s="16">
        <v>0.11550571968878443</v>
      </c>
      <c r="CC37" s="47">
        <v>0.14500130590746885</v>
      </c>
      <c r="CD37" s="16">
        <v>20.139070264926229</v>
      </c>
      <c r="CE37" s="16">
        <v>222.14579830349228</v>
      </c>
      <c r="CF37" s="16">
        <v>31.658810257133226</v>
      </c>
      <c r="CG37" s="47">
        <v>0.39456137661896284</v>
      </c>
      <c r="CH37" s="16">
        <v>0.23016080302772834</v>
      </c>
      <c r="CI37" s="16">
        <v>1.8303263859824113</v>
      </c>
      <c r="CJ37" s="16">
        <v>0.28496099422480659</v>
      </c>
      <c r="CK37" s="47">
        <v>9.6003823941563496E-2</v>
      </c>
      <c r="CL37" s="16">
        <v>8.7594424256937892E-2</v>
      </c>
      <c r="CM37" s="16">
        <v>8.7594424256937975E-2</v>
      </c>
      <c r="CN37" s="16">
        <v>9.6003823941563746E-2</v>
      </c>
      <c r="CO37" s="47">
        <v>1.5974982348101774</v>
      </c>
      <c r="CP37" s="16">
        <v>1.5974982348101778</v>
      </c>
      <c r="CQ37" s="16">
        <v>1.5974982348101778</v>
      </c>
      <c r="CR37" s="16">
        <v>1.5974982348101781</v>
      </c>
      <c r="CU37" s="16">
        <v>-62.806717027275717</v>
      </c>
      <c r="CV37" s="47">
        <v>5.3773333333333335</v>
      </c>
      <c r="CW37" s="47">
        <v>1.8687840424679112</v>
      </c>
      <c r="CX37" s="47">
        <v>10.679900265424445</v>
      </c>
      <c r="CY37" s="47">
        <v>18.260734617088634</v>
      </c>
      <c r="DB37" s="16">
        <v>-107.7488337055908</v>
      </c>
      <c r="DC37" s="52">
        <v>3.9396282890526804</v>
      </c>
      <c r="DD37" s="47">
        <v>4.6280404129324006</v>
      </c>
      <c r="DE37" s="47">
        <v>5.6280404129324006</v>
      </c>
      <c r="DF37" s="47">
        <v>8.7435554231852706</v>
      </c>
      <c r="DI37" s="16">
        <v>-31.452164499139595</v>
      </c>
      <c r="DJ37" s="47">
        <v>25</v>
      </c>
      <c r="DK37" s="16">
        <v>24.173333333333332</v>
      </c>
      <c r="DL37" s="47">
        <v>0.50840563991323207</v>
      </c>
      <c r="DM37" s="16">
        <v>0.49159436008676788</v>
      </c>
      <c r="DN37" s="47">
        <v>-15.990457818841307</v>
      </c>
      <c r="DO37" s="16">
        <v>-15.461706680298288</v>
      </c>
      <c r="DP37" s="47">
        <v>0.47971373456523925</v>
      </c>
      <c r="DQ37" s="16">
        <v>1.8932702057508108</v>
      </c>
      <c r="DR37" s="47">
        <v>0.5634324097051735</v>
      </c>
      <c r="DS37" s="16">
        <v>0.56343240970517361</v>
      </c>
      <c r="DV37" s="16">
        <v>-44.246959220727405</v>
      </c>
      <c r="DW37" s="47">
        <v>1.4814830096225693</v>
      </c>
      <c r="DX37" s="47">
        <v>0.99799793907464773</v>
      </c>
      <c r="DY37" s="47">
        <v>1.5614303487798213</v>
      </c>
      <c r="DZ37" s="47">
        <v>1.294842088174516</v>
      </c>
    </row>
    <row r="38" spans="1:130" x14ac:dyDescent="0.35">
      <c r="A38" s="13">
        <v>43983</v>
      </c>
      <c r="B38" s="47">
        <v>-37.48941440316711</v>
      </c>
      <c r="C38" s="47">
        <v>18.34</v>
      </c>
      <c r="D38" s="16">
        <v>2.5250999999999997</v>
      </c>
      <c r="E38" s="16">
        <v>22.535766666666671</v>
      </c>
      <c r="F38" s="47">
        <v>0.42257220669940532</v>
      </c>
      <c r="G38" s="16">
        <v>5.8180865819883763E-2</v>
      </c>
      <c r="H38" s="16">
        <v>0.51924692748071088</v>
      </c>
      <c r="I38" s="47">
        <v>-15.841984572214795</v>
      </c>
      <c r="J38" s="16">
        <v>-2.1811665890566836</v>
      </c>
      <c r="K38" s="16">
        <v>-19.466263241895632</v>
      </c>
      <c r="L38" s="47">
        <v>0.60465589970285483</v>
      </c>
      <c r="M38" s="16">
        <v>0.32824177412440692</v>
      </c>
      <c r="N38" s="16">
        <v>0.58738001685420205</v>
      </c>
      <c r="O38" s="47">
        <v>-0.13620585756735018</v>
      </c>
      <c r="P38" s="16">
        <v>-0.13620585756735024</v>
      </c>
      <c r="Q38" s="16">
        <v>-0.13620585756734999</v>
      </c>
      <c r="R38" s="47">
        <v>1.0694049269594099</v>
      </c>
      <c r="S38" s="16">
        <v>1.0694049269594097</v>
      </c>
      <c r="T38" s="16">
        <v>1.0694049269594101</v>
      </c>
      <c r="V38" s="16">
        <v>-81.664141444518094</v>
      </c>
      <c r="W38" s="47">
        <v>51.228333333333332</v>
      </c>
      <c r="X38" s="16">
        <v>21.688500000000001</v>
      </c>
      <c r="Y38" s="16">
        <v>28.186000000000003</v>
      </c>
      <c r="Z38" s="47">
        <v>0.50669532835380471</v>
      </c>
      <c r="AA38" s="16">
        <v>0.21451921063867316</v>
      </c>
      <c r="AB38" s="16">
        <v>0.27878546100752205</v>
      </c>
      <c r="AC38" s="47">
        <v>-41.378838963961648</v>
      </c>
      <c r="AD38" s="16">
        <v>-17.518527160162975</v>
      </c>
      <c r="AE38" s="16">
        <v>-22.766775320393464</v>
      </c>
      <c r="AF38" s="47">
        <v>0.56541342241805936</v>
      </c>
      <c r="AG38" s="16">
        <v>0.30693871502694658</v>
      </c>
      <c r="AH38" s="16">
        <v>0.54925875320611495</v>
      </c>
      <c r="AI38" s="47">
        <v>-0.23803215885177381</v>
      </c>
      <c r="AJ38" s="16">
        <v>-0.23803215885177362</v>
      </c>
      <c r="AK38" s="16">
        <v>-0.23803215885177367</v>
      </c>
      <c r="AM38" s="16">
        <v>-151.93046643411083</v>
      </c>
      <c r="AN38" s="47">
        <v>16.856166666666663</v>
      </c>
      <c r="AO38" s="16">
        <v>1.1841666666666666</v>
      </c>
      <c r="AP38" s="16">
        <v>3.8420000000000001</v>
      </c>
      <c r="AQ38" s="16">
        <v>42.135749999999994</v>
      </c>
      <c r="AR38" s="16">
        <v>46.165249999999993</v>
      </c>
      <c r="AS38" s="47">
        <v>0.15298290727575253</v>
      </c>
      <c r="AT38" s="16">
        <v>1.0747239449402512E-2</v>
      </c>
      <c r="AU38" s="16">
        <v>3.4869157464831352E-2</v>
      </c>
      <c r="AV38" s="16">
        <v>0.38241491453637882</v>
      </c>
      <c r="AW38" s="16">
        <v>0.41898578127363489</v>
      </c>
      <c r="AX38" s="47">
        <v>-23.242764458851408</v>
      </c>
      <c r="AY38" s="16">
        <v>-1.6328331024268001</v>
      </c>
      <c r="AZ38" s="16">
        <v>-5.2976873577962849</v>
      </c>
      <c r="BA38" s="16">
        <v>-58.10047633687266</v>
      </c>
      <c r="BB38" s="16">
        <v>-63.656705178163683</v>
      </c>
      <c r="BC38" s="47">
        <v>0.5239774065493461</v>
      </c>
      <c r="BD38" s="16">
        <v>0.9652215383803745</v>
      </c>
      <c r="BE38" s="16">
        <v>0.93764378014093541</v>
      </c>
      <c r="BF38" s="16">
        <v>0.84112162630289777</v>
      </c>
      <c r="BG38" s="16">
        <v>0.78596610982401915</v>
      </c>
      <c r="BH38" s="47">
        <v>0.37888791197196342</v>
      </c>
      <c r="BI38" s="16">
        <v>0.37888791197196364</v>
      </c>
      <c r="BJ38" s="16">
        <v>0.37888791197196375</v>
      </c>
      <c r="BK38" s="16">
        <v>0.37888791197196359</v>
      </c>
      <c r="BL38" s="16">
        <v>0.37888791197196353</v>
      </c>
      <c r="BM38" s="47">
        <v>1.7071075784732641</v>
      </c>
      <c r="BN38" s="16">
        <v>1.7071075784732648</v>
      </c>
      <c r="BO38" s="16">
        <v>1.7071075784732648</v>
      </c>
      <c r="BP38" s="16">
        <v>1.7071075784732646</v>
      </c>
      <c r="BQ38" s="16">
        <v>1.7071075784732646</v>
      </c>
      <c r="BT38" s="16">
        <v>-286.76247289499076</v>
      </c>
      <c r="BU38" s="47">
        <v>0.13965000000000002</v>
      </c>
      <c r="BV38" s="16">
        <v>24.5</v>
      </c>
      <c r="BW38" s="16">
        <v>188.12272500000003</v>
      </c>
      <c r="BX38" s="16">
        <v>35.551600000000001</v>
      </c>
      <c r="BY38" s="47">
        <v>5.623928335084645E-4</v>
      </c>
      <c r="BZ38" s="16">
        <v>9.8665409387449887E-2</v>
      </c>
      <c r="CA38" s="16">
        <v>0.75760023172276147</v>
      </c>
      <c r="CB38" s="16">
        <v>0.14317196605628016</v>
      </c>
      <c r="CC38" s="47">
        <v>0.16127315967530811</v>
      </c>
      <c r="CD38" s="16">
        <v>28.293536785141765</v>
      </c>
      <c r="CE38" s="16">
        <v>217.2513159146371</v>
      </c>
      <c r="CF38" s="16">
        <v>41.056347035536575</v>
      </c>
      <c r="CG38" s="47">
        <v>0.43883852972872961</v>
      </c>
      <c r="CH38" s="16">
        <v>0.32335470611590589</v>
      </c>
      <c r="CI38" s="16">
        <v>1.7899992659987647</v>
      </c>
      <c r="CJ38" s="16">
        <v>0.36954823556103539</v>
      </c>
      <c r="CK38" s="47">
        <v>0.1548382361282358</v>
      </c>
      <c r="CL38" s="16">
        <v>0.13407785721345106</v>
      </c>
      <c r="CM38" s="16">
        <v>0.13407785721345108</v>
      </c>
      <c r="CN38" s="16">
        <v>0.15483823612823555</v>
      </c>
      <c r="CO38" s="47">
        <v>1.2509137591028754</v>
      </c>
      <c r="CP38" s="16">
        <v>1.2509137591028745</v>
      </c>
      <c r="CQ38" s="16">
        <v>1.2509137591028747</v>
      </c>
      <c r="CR38" s="16">
        <v>1.2509137591028749</v>
      </c>
      <c r="CU38" s="16">
        <v>-63.207462788561912</v>
      </c>
      <c r="CV38" s="47">
        <v>5.7134166666666673</v>
      </c>
      <c r="CW38" s="47">
        <v>1.8807080423078177</v>
      </c>
      <c r="CX38" s="47">
        <v>10.062988484163634</v>
      </c>
      <c r="CY38" s="47">
        <v>17.401659010631988</v>
      </c>
      <c r="DB38" s="16">
        <v>-107.75390056090939</v>
      </c>
      <c r="DC38" s="52">
        <v>3.9398135488449504</v>
      </c>
      <c r="DD38" s="47">
        <v>4.6283050697785013</v>
      </c>
      <c r="DE38" s="47">
        <v>5.6283050697785013</v>
      </c>
      <c r="DF38" s="47">
        <v>6.9680226762142601</v>
      </c>
      <c r="DI38" s="16">
        <v>-31.953518867854793</v>
      </c>
      <c r="DJ38" s="47">
        <v>26.333333333333332</v>
      </c>
      <c r="DK38" s="16">
        <v>23.928333333333338</v>
      </c>
      <c r="DL38" s="47">
        <v>0.52392479358026323</v>
      </c>
      <c r="DM38" s="16">
        <v>0.47607520641973677</v>
      </c>
      <c r="DN38" s="47">
        <v>-16.74124077700387</v>
      </c>
      <c r="DO38" s="16">
        <v>-15.212278090850925</v>
      </c>
      <c r="DP38" s="47">
        <v>0.50223722331011611</v>
      </c>
      <c r="DQ38" s="16">
        <v>1.8627279294919499</v>
      </c>
      <c r="DR38" s="47">
        <v>0.57296186609449939</v>
      </c>
      <c r="DS38" s="16">
        <v>0.57296186609449917</v>
      </c>
      <c r="DV38" s="16">
        <v>-45.031678548925129</v>
      </c>
      <c r="DW38" s="47">
        <v>1.5077570942720468</v>
      </c>
      <c r="DX38" s="47">
        <v>0.94328384268993926</v>
      </c>
      <c r="DY38" s="47">
        <v>1.5162457087844383</v>
      </c>
      <c r="DZ38" s="47">
        <v>1.288814243668468</v>
      </c>
    </row>
    <row r="39" spans="1:130" x14ac:dyDescent="0.35">
      <c r="A39" s="13">
        <v>44013</v>
      </c>
      <c r="B39" s="47">
        <v>-41.35405924383582</v>
      </c>
      <c r="C39" s="47">
        <v>19.387999999999998</v>
      </c>
      <c r="D39" s="16">
        <v>2.7909000000000002</v>
      </c>
      <c r="E39" s="16">
        <v>22.867175</v>
      </c>
      <c r="F39" s="47">
        <v>0.43040375881805454</v>
      </c>
      <c r="G39" s="16">
        <v>6.1956563363178702E-2</v>
      </c>
      <c r="H39" s="16">
        <v>0.50763967781876662</v>
      </c>
      <c r="I39" s="47">
        <v>-17.798942540931453</v>
      </c>
      <c r="J39" s="16">
        <v>-2.5621553918653599</v>
      </c>
      <c r="K39" s="16">
        <v>-20.992961311039004</v>
      </c>
      <c r="L39" s="47">
        <v>0.67934895194394862</v>
      </c>
      <c r="M39" s="16">
        <v>0.38557643218440329</v>
      </c>
      <c r="N39" s="16">
        <v>0.63344699573151964</v>
      </c>
      <c r="O39" s="47">
        <v>-8.1960875751420775E-2</v>
      </c>
      <c r="P39" s="16">
        <v>-8.1960875751420692E-2</v>
      </c>
      <c r="Q39" s="16">
        <v>-8.1960875751420748E-2</v>
      </c>
      <c r="R39" s="47">
        <v>1.0985555954320434</v>
      </c>
      <c r="S39" s="16">
        <v>1.0985555954320432</v>
      </c>
      <c r="T39" s="16">
        <v>1.0985555954320432</v>
      </c>
      <c r="V39" s="16">
        <v>-89.190000075714892</v>
      </c>
      <c r="W39" s="47">
        <v>54.155666666666669</v>
      </c>
      <c r="X39" s="16">
        <v>23.971499999999995</v>
      </c>
      <c r="Y39" s="16">
        <v>28.600499999999997</v>
      </c>
      <c r="Z39" s="47">
        <v>0.50741919464806062</v>
      </c>
      <c r="AA39" s="16">
        <v>0.22460436687769178</v>
      </c>
      <c r="AB39" s="16">
        <v>0.26797643847424751</v>
      </c>
      <c r="AC39" s="47">
        <v>-45.256718009079719</v>
      </c>
      <c r="AD39" s="16">
        <v>-20.032463498827227</v>
      </c>
      <c r="AE39" s="16">
        <v>-23.900818567807942</v>
      </c>
      <c r="AF39" s="47">
        <v>0.61840197689473531</v>
      </c>
      <c r="AG39" s="16">
        <v>0.3509849058051201</v>
      </c>
      <c r="AH39" s="16">
        <v>0.57661805953698297</v>
      </c>
      <c r="AI39" s="47">
        <v>-0.19663265585899503</v>
      </c>
      <c r="AJ39" s="16">
        <v>-0.19663265585899481</v>
      </c>
      <c r="AK39" s="16">
        <v>-0.19663265585899484</v>
      </c>
      <c r="AM39" s="16">
        <v>-166.59122911948361</v>
      </c>
      <c r="AN39" s="47">
        <v>18.630499999999998</v>
      </c>
      <c r="AO39" s="16">
        <v>1.2518333333333334</v>
      </c>
      <c r="AP39" s="16">
        <v>3.8984999999999999</v>
      </c>
      <c r="AQ39" s="16">
        <v>44.89875</v>
      </c>
      <c r="AR39" s="16">
        <v>47.785083333333326</v>
      </c>
      <c r="AS39" s="47">
        <v>0.15996697138474042</v>
      </c>
      <c r="AT39" s="16">
        <v>1.0748610451238431E-2</v>
      </c>
      <c r="AU39" s="16">
        <v>3.3473671557038759E-2</v>
      </c>
      <c r="AV39" s="16">
        <v>0.38551391838440274</v>
      </c>
      <c r="AW39" s="16">
        <v>0.41029682822257962</v>
      </c>
      <c r="AX39" s="47">
        <v>-26.649094381505169</v>
      </c>
      <c r="AY39" s="16">
        <v>-1.7906242263983376</v>
      </c>
      <c r="AZ39" s="16">
        <v>-5.5764200878289856</v>
      </c>
      <c r="BA39" s="16">
        <v>-64.223237506325944</v>
      </c>
      <c r="BB39" s="16">
        <v>-68.351852917425177</v>
      </c>
      <c r="BC39" s="47">
        <v>0.60076861277111038</v>
      </c>
      <c r="BD39" s="16">
        <v>1.0584970796443376</v>
      </c>
      <c r="BE39" s="16">
        <v>0.98697700669539579</v>
      </c>
      <c r="BF39" s="16">
        <v>0.92976094833624245</v>
      </c>
      <c r="BG39" s="16">
        <v>0.84393686079751229</v>
      </c>
      <c r="BH39" s="47">
        <v>0.43040145897883431</v>
      </c>
      <c r="BI39" s="16">
        <v>0.43040145897883458</v>
      </c>
      <c r="BJ39" s="16">
        <v>0.43040145897883458</v>
      </c>
      <c r="BK39" s="16">
        <v>0.43040145897883447</v>
      </c>
      <c r="BL39" s="16">
        <v>0.43040145897883447</v>
      </c>
      <c r="BM39" s="47">
        <v>1.7116650968024236</v>
      </c>
      <c r="BN39" s="16">
        <v>1.7116650968024241</v>
      </c>
      <c r="BO39" s="16">
        <v>1.7116650968024238</v>
      </c>
      <c r="BP39" s="16">
        <v>1.7116650968024243</v>
      </c>
      <c r="BQ39" s="16">
        <v>1.7116650968024238</v>
      </c>
      <c r="BT39" s="16">
        <v>-298.95192196846392</v>
      </c>
      <c r="BU39" s="47">
        <v>0.15435000000000001</v>
      </c>
      <c r="BV39" s="16">
        <v>27.125</v>
      </c>
      <c r="BW39" s="16">
        <v>142.00231500000001</v>
      </c>
      <c r="BX39" s="16">
        <v>37.773575000000001</v>
      </c>
      <c r="BY39" s="47">
        <v>7.4545324233281905E-4</v>
      </c>
      <c r="BZ39" s="16">
        <v>0.13100368771154983</v>
      </c>
      <c r="CA39" s="16">
        <v>0.68581850427934121</v>
      </c>
      <c r="CB39" s="16">
        <v>0.18243235476677624</v>
      </c>
      <c r="CC39" s="47">
        <v>0.22285467953301935</v>
      </c>
      <c r="CD39" s="16">
        <v>39.16380422632426</v>
      </c>
      <c r="CE39" s="16">
        <v>205.02675997584626</v>
      </c>
      <c r="CF39" s="16">
        <v>54.538503086760421</v>
      </c>
      <c r="CG39" s="47">
        <v>0.6064072912463111</v>
      </c>
      <c r="CH39" s="16">
        <v>0.44758633401513442</v>
      </c>
      <c r="CI39" s="16">
        <v>1.6892774541861526</v>
      </c>
      <c r="CJ39" s="16">
        <v>0.49090114053272804</v>
      </c>
      <c r="CK39" s="47">
        <v>0.44382688391978836</v>
      </c>
      <c r="CL39" s="16">
        <v>0.307396190542498</v>
      </c>
      <c r="CM39" s="16">
        <v>0.30739619054249812</v>
      </c>
      <c r="CN39" s="16">
        <v>0.44382688391978825</v>
      </c>
      <c r="CO39" s="47">
        <v>1.0869212118958158</v>
      </c>
      <c r="CP39" s="16">
        <v>1.0869212118958158</v>
      </c>
      <c r="CQ39" s="16">
        <v>1.0869212118958158</v>
      </c>
      <c r="CR39" s="16">
        <v>1.0869212118958158</v>
      </c>
      <c r="CU39" s="16">
        <v>-63.325329188940209</v>
      </c>
      <c r="CV39" s="47">
        <v>6.3855833333333338</v>
      </c>
      <c r="CW39" s="47">
        <v>1.8842151010842612</v>
      </c>
      <c r="CX39" s="47">
        <v>8.9169215846540055</v>
      </c>
      <c r="CY39" s="47">
        <v>15.358140480679657</v>
      </c>
      <c r="DB39" s="16">
        <v>-107.75539081247368</v>
      </c>
      <c r="DC39" s="52">
        <v>3.9398680370191475</v>
      </c>
      <c r="DD39" s="47">
        <v>4.3241459959718203</v>
      </c>
      <c r="DE39" s="47">
        <v>5.3241459959718203</v>
      </c>
      <c r="DF39" s="47">
        <v>6.3710469633407936</v>
      </c>
      <c r="DI39" s="16">
        <v>-32.674057189241623</v>
      </c>
      <c r="DJ39" s="47">
        <v>27</v>
      </c>
      <c r="DK39" s="16">
        <v>23.60166666666667</v>
      </c>
      <c r="DL39" s="47">
        <v>0.53357926287012936</v>
      </c>
      <c r="DM39" s="16">
        <v>0.46642073712987059</v>
      </c>
      <c r="DN39" s="47">
        <v>-17.434199350011994</v>
      </c>
      <c r="DO39" s="16">
        <v>-15.239857839229625</v>
      </c>
      <c r="DP39" s="47">
        <v>0.52302598050035987</v>
      </c>
      <c r="DQ39" s="16">
        <v>1.8661050415383214</v>
      </c>
      <c r="DR39" s="47">
        <v>0.54868023807364719</v>
      </c>
      <c r="DS39" s="16">
        <v>0.54868023807364685</v>
      </c>
      <c r="DV39" s="16">
        <v>-45.43430479353831</v>
      </c>
      <c r="DW39" s="47">
        <v>1.5212378837122202</v>
      </c>
      <c r="DX39" s="47">
        <v>0.89976862326596851</v>
      </c>
      <c r="DY39" s="47">
        <v>1.4484488613396154</v>
      </c>
      <c r="DZ39" s="47">
        <v>1.2801168471001254</v>
      </c>
    </row>
    <row r="40" spans="1:130" x14ac:dyDescent="0.35">
      <c r="A40" s="13">
        <v>44044</v>
      </c>
      <c r="B40" s="47">
        <v>-47.749267686328331</v>
      </c>
      <c r="C40" s="47">
        <v>20.959999999999997</v>
      </c>
      <c r="D40" s="16">
        <v>2.9902499999999996</v>
      </c>
      <c r="E40" s="16">
        <v>24.192808333333332</v>
      </c>
      <c r="F40" s="47">
        <v>0.43536910046048521</v>
      </c>
      <c r="G40" s="16">
        <v>6.2111758237212114E-2</v>
      </c>
      <c r="H40" s="16">
        <v>0.50251914130230269</v>
      </c>
      <c r="I40" s="47">
        <v>-20.788555720243679</v>
      </c>
      <c r="J40" s="16">
        <v>-2.9657909705371499</v>
      </c>
      <c r="K40" s="16">
        <v>-23.994920995547503</v>
      </c>
      <c r="L40" s="47">
        <v>0.79345632520014053</v>
      </c>
      <c r="M40" s="16">
        <v>0.44631918292507905</v>
      </c>
      <c r="N40" s="16">
        <v>0.72402889674512816</v>
      </c>
      <c r="O40" s="47">
        <v>-8.1795934998243891E-3</v>
      </c>
      <c r="P40" s="16">
        <v>-8.1795934998243579E-3</v>
      </c>
      <c r="Q40" s="16">
        <v>-8.1795934998244151E-3</v>
      </c>
      <c r="R40" s="47">
        <v>1.2310663390807124</v>
      </c>
      <c r="S40" s="16">
        <v>1.2310663390807122</v>
      </c>
      <c r="T40" s="16">
        <v>1.2310663390807124</v>
      </c>
      <c r="V40" s="16">
        <v>-92.239094079115461</v>
      </c>
      <c r="W40" s="47">
        <v>58.546666666666674</v>
      </c>
      <c r="X40" s="16">
        <v>25.68375</v>
      </c>
      <c r="Y40" s="16">
        <v>30.258499999999998</v>
      </c>
      <c r="Z40" s="47">
        <v>0.51137409953074064</v>
      </c>
      <c r="AA40" s="16">
        <v>0.22433394207736265</v>
      </c>
      <c r="AB40" s="16">
        <v>0.26429195839189673</v>
      </c>
      <c r="AC40" s="47">
        <v>-47.168683676238942</v>
      </c>
      <c r="AD40" s="16">
        <v>-20.692359588412693</v>
      </c>
      <c r="AE40" s="16">
        <v>-24.37805081446383</v>
      </c>
      <c r="AF40" s="47">
        <v>0.64452767492014029</v>
      </c>
      <c r="AG40" s="16">
        <v>0.36254681714257897</v>
      </c>
      <c r="AH40" s="16">
        <v>0.58813150336462794</v>
      </c>
      <c r="AI40" s="47">
        <v>-0.24121900599399929</v>
      </c>
      <c r="AJ40" s="16">
        <v>-0.24121900599399906</v>
      </c>
      <c r="AK40" s="16">
        <v>-0.24121900599399937</v>
      </c>
      <c r="AM40" s="16">
        <v>-188.46732401045801</v>
      </c>
      <c r="AN40" s="47">
        <v>19.96125</v>
      </c>
      <c r="AO40" s="16">
        <v>1.3533333333333335</v>
      </c>
      <c r="AP40" s="16">
        <v>4.1245000000000003</v>
      </c>
      <c r="AQ40" s="16">
        <v>47.661749999999991</v>
      </c>
      <c r="AR40" s="16">
        <v>43.735500000000002</v>
      </c>
      <c r="AS40" s="47">
        <v>0.17084796681397624</v>
      </c>
      <c r="AT40" s="16">
        <v>1.1583154783472039E-2</v>
      </c>
      <c r="AU40" s="16">
        <v>3.5301518648593905E-2</v>
      </c>
      <c r="AV40" s="16">
        <v>0.40793603017326224</v>
      </c>
      <c r="AW40" s="16">
        <v>0.37433132958069554</v>
      </c>
      <c r="AX40" s="47">
        <v>-32.19925911805764</v>
      </c>
      <c r="AY40" s="16">
        <v>-2.1830461856399115</v>
      </c>
      <c r="AZ40" s="16">
        <v>-6.6531827532057735</v>
      </c>
      <c r="BA40" s="16">
        <v>-76.882611974204195</v>
      </c>
      <c r="BB40" s="16">
        <v>-70.549223979350487</v>
      </c>
      <c r="BC40" s="47">
        <v>0.72588974153051233</v>
      </c>
      <c r="BD40" s="16">
        <v>1.2904706516097999</v>
      </c>
      <c r="BE40" s="16">
        <v>1.1775544695939424</v>
      </c>
      <c r="BF40" s="16">
        <v>1.1130309370134519</v>
      </c>
      <c r="BG40" s="16">
        <v>0.87106768983661476</v>
      </c>
      <c r="BH40" s="47">
        <v>0.61308831451224954</v>
      </c>
      <c r="BI40" s="16">
        <v>0.61308831451224977</v>
      </c>
      <c r="BJ40" s="16">
        <v>0.61308831451224988</v>
      </c>
      <c r="BK40" s="16">
        <v>0.61308831451224921</v>
      </c>
      <c r="BL40" s="16">
        <v>0.61308831451224943</v>
      </c>
      <c r="BM40" s="47">
        <v>2.0021958743194297</v>
      </c>
      <c r="BN40" s="16">
        <v>2.0021958743194306</v>
      </c>
      <c r="BO40" s="16">
        <v>2.0021958743194306</v>
      </c>
      <c r="BP40" s="16">
        <v>2.0021958743194297</v>
      </c>
      <c r="BQ40" s="16">
        <v>2.0021958743194297</v>
      </c>
      <c r="BT40" s="16">
        <v>-299.32857319946828</v>
      </c>
      <c r="BU40" s="47">
        <v>0.16537500000000002</v>
      </c>
      <c r="BV40" s="16">
        <v>28</v>
      </c>
      <c r="BW40" s="16">
        <v>115.30102500000002</v>
      </c>
      <c r="BX40" s="16">
        <v>38.884562499999994</v>
      </c>
      <c r="BY40" s="47">
        <v>9.0690500194096871E-4</v>
      </c>
      <c r="BZ40" s="16">
        <v>0.15355005323868251</v>
      </c>
      <c r="CA40" s="16">
        <v>0.63230280454373811</v>
      </c>
      <c r="CB40" s="16">
        <v>0.21324023721563845</v>
      </c>
      <c r="CC40" s="47">
        <v>0.27146258025845116</v>
      </c>
      <c r="CD40" s="16">
        <v>45.961918350637227</v>
      </c>
      <c r="CE40" s="16">
        <v>189.26629631409941</v>
      </c>
      <c r="CF40" s="16">
        <v>63.828895954473211</v>
      </c>
      <c r="CG40" s="47">
        <v>0.73867368777809839</v>
      </c>
      <c r="CH40" s="16">
        <v>0.52527906686442538</v>
      </c>
      <c r="CI40" s="16">
        <v>1.5594222297537632</v>
      </c>
      <c r="CJ40" s="16">
        <v>0.57452397938296529</v>
      </c>
      <c r="CK40" s="47">
        <v>0.64149708395132976</v>
      </c>
      <c r="CL40" s="16">
        <v>0.39080001434248651</v>
      </c>
      <c r="CM40" s="16">
        <v>0.39080001434248668</v>
      </c>
      <c r="CN40" s="16">
        <v>0.64149708395132954</v>
      </c>
      <c r="CO40" s="47">
        <v>0.98444178621472866</v>
      </c>
      <c r="CP40" s="16">
        <v>0.98444178621472833</v>
      </c>
      <c r="CQ40" s="16">
        <v>0.98444178621472866</v>
      </c>
      <c r="CR40" s="16">
        <v>0.98444178621472844</v>
      </c>
      <c r="CU40" s="16">
        <v>-65.824096876960027</v>
      </c>
      <c r="CV40" s="47">
        <v>7.3938333333333333</v>
      </c>
      <c r="CW40" s="47">
        <v>1.9585647471448557</v>
      </c>
      <c r="CX40" s="47">
        <v>7.9025670324766173</v>
      </c>
      <c r="CY40" s="47">
        <v>13.360967393750174</v>
      </c>
      <c r="DB40" s="16">
        <v>-107.78698414563662</v>
      </c>
      <c r="DC40" s="52">
        <v>3.9410231863121252</v>
      </c>
      <c r="DD40" s="47">
        <v>3.9262789828901568</v>
      </c>
      <c r="DE40" s="47">
        <v>4.9262789828901568</v>
      </c>
      <c r="DF40" s="47">
        <v>6.1145911023920503</v>
      </c>
      <c r="DI40" s="16">
        <v>-33.612086663975596</v>
      </c>
      <c r="DJ40" s="47">
        <v>27.333333333333332</v>
      </c>
      <c r="DK40" s="16">
        <v>23.111666666666668</v>
      </c>
      <c r="DL40" s="47">
        <v>0.54184425281659887</v>
      </c>
      <c r="DM40" s="16">
        <v>0.45815574718340107</v>
      </c>
      <c r="DN40" s="47">
        <v>-18.212515984048625</v>
      </c>
      <c r="DO40" s="16">
        <v>-15.39957067992697</v>
      </c>
      <c r="DP40" s="47">
        <v>0.54637547952145871</v>
      </c>
      <c r="DQ40" s="16">
        <v>1.8856617159094251</v>
      </c>
      <c r="DR40" s="47">
        <v>0.50079941493383717</v>
      </c>
      <c r="DS40" s="16">
        <v>0.50079941493383684</v>
      </c>
      <c r="DV40" s="16">
        <v>-47.276858137483053</v>
      </c>
      <c r="DW40" s="47">
        <v>1.5829305179960844</v>
      </c>
      <c r="DX40" s="47">
        <v>0.78782326060820851</v>
      </c>
      <c r="DY40" s="47">
        <v>1.2886226755420453</v>
      </c>
      <c r="DZ40" s="47">
        <v>1.2257573080691366</v>
      </c>
    </row>
    <row r="41" spans="1:130" x14ac:dyDescent="0.35">
      <c r="A41" s="13">
        <v>44075</v>
      </c>
      <c r="B41" s="47">
        <v>-52.245558038417371</v>
      </c>
      <c r="C41" s="47">
        <v>22.007999999999996</v>
      </c>
      <c r="D41" s="16">
        <v>3.0566999999999998</v>
      </c>
      <c r="E41" s="16">
        <v>24.855625</v>
      </c>
      <c r="F41" s="47">
        <v>0.44086251441672303</v>
      </c>
      <c r="G41" s="16">
        <v>6.1231572510795959E-2</v>
      </c>
      <c r="H41" s="16">
        <v>0.49790591307248111</v>
      </c>
      <c r="I41" s="47">
        <v>-23.033108083921519</v>
      </c>
      <c r="J41" s="16">
        <v>-3.1990776753963521</v>
      </c>
      <c r="K41" s="16">
        <v>-26.013372279099507</v>
      </c>
      <c r="L41" s="47">
        <v>0.8791262627450962</v>
      </c>
      <c r="M41" s="16">
        <v>0.48142628674136234</v>
      </c>
      <c r="N41" s="16">
        <v>0.78493416316526454</v>
      </c>
      <c r="O41" s="47">
        <v>4.6578884220352654E-2</v>
      </c>
      <c r="P41" s="16">
        <v>4.6578884220352869E-2</v>
      </c>
      <c r="Q41" s="16">
        <v>4.6578884220352723E-2</v>
      </c>
      <c r="R41" s="47">
        <v>1.3399278146905411</v>
      </c>
      <c r="S41" s="16">
        <v>1.3399278146905411</v>
      </c>
      <c r="T41" s="16">
        <v>1.3399278146905411</v>
      </c>
      <c r="V41" s="16">
        <v>-92.803743115254576</v>
      </c>
      <c r="W41" s="47">
        <v>61.473999999999997</v>
      </c>
      <c r="X41" s="16">
        <v>26.254500000000004</v>
      </c>
      <c r="Y41" s="16">
        <v>31.087499999999995</v>
      </c>
      <c r="Z41" s="47">
        <v>0.51738823054134131</v>
      </c>
      <c r="AA41" s="16">
        <v>0.22096771478588748</v>
      </c>
      <c r="AB41" s="16">
        <v>0.26164405467277135</v>
      </c>
      <c r="AC41" s="47">
        <v>-48.015564438014749</v>
      </c>
      <c r="AD41" s="16">
        <v>-20.506631039754343</v>
      </c>
      <c r="AE41" s="16">
        <v>-24.281547637485495</v>
      </c>
      <c r="AF41" s="47">
        <v>0.65609971903458997</v>
      </c>
      <c r="AG41" s="16">
        <v>0.359292703280847</v>
      </c>
      <c r="AH41" s="16">
        <v>0.58580332056659823</v>
      </c>
      <c r="AI41" s="47">
        <v>-0.28029318658451469</v>
      </c>
      <c r="AJ41" s="16">
        <v>-0.28029318658451441</v>
      </c>
      <c r="AK41" s="16">
        <v>-0.28029318658451469</v>
      </c>
      <c r="AM41" s="16">
        <v>-203.00661349525399</v>
      </c>
      <c r="AN41" s="47">
        <v>20.404833333333332</v>
      </c>
      <c r="AO41" s="16">
        <v>1.421</v>
      </c>
      <c r="AP41" s="16">
        <v>4.2374999999999998</v>
      </c>
      <c r="AQ41" s="16">
        <v>53.878500000000003</v>
      </c>
      <c r="AR41" s="16">
        <v>45.355333333333334</v>
      </c>
      <c r="AS41" s="47">
        <v>0.1628515143332584</v>
      </c>
      <c r="AT41" s="16">
        <v>1.1341038570970612E-2</v>
      </c>
      <c r="AU41" s="16">
        <v>3.3819599538696669E-2</v>
      </c>
      <c r="AV41" s="16">
        <v>0.43000573303732592</v>
      </c>
      <c r="AW41" s="16">
        <v>0.36198211451974838</v>
      </c>
      <c r="AX41" s="47">
        <v>-33.059934427368603</v>
      </c>
      <c r="AY41" s="16">
        <v>-2.3023058338117988</v>
      </c>
      <c r="AZ41" s="16">
        <v>-6.8656023721164647</v>
      </c>
      <c r="BA41" s="16">
        <v>-87.294007647451792</v>
      </c>
      <c r="BB41" s="16">
        <v>-73.484763214505321</v>
      </c>
      <c r="BC41" s="47">
        <v>0.745292528890519</v>
      </c>
      <c r="BD41" s="16">
        <v>1.3609689658000781</v>
      </c>
      <c r="BE41" s="16">
        <v>1.2151508623214982</v>
      </c>
      <c r="BF41" s="16">
        <v>1.2637568968143582</v>
      </c>
      <c r="BG41" s="16">
        <v>0.90731264386671862</v>
      </c>
      <c r="BH41" s="47">
        <v>0.62020114976199781</v>
      </c>
      <c r="BI41" s="16">
        <v>0.62020114976199781</v>
      </c>
      <c r="BJ41" s="16">
        <v>0.62020114976199758</v>
      </c>
      <c r="BK41" s="16">
        <v>0.62020114976199769</v>
      </c>
      <c r="BL41" s="16">
        <v>0.62020114976199736</v>
      </c>
      <c r="BM41" s="47">
        <v>2.0743324929366822</v>
      </c>
      <c r="BN41" s="16">
        <v>2.0743324929366826</v>
      </c>
      <c r="BO41" s="16">
        <v>2.0743324929366826</v>
      </c>
      <c r="BP41" s="16">
        <v>2.0743324929366826</v>
      </c>
      <c r="BQ41" s="16">
        <v>2.0743324929366818</v>
      </c>
      <c r="BT41" s="16">
        <v>-298.82004089824443</v>
      </c>
      <c r="BU41" s="47">
        <v>0.16905000000000001</v>
      </c>
      <c r="BV41" s="16">
        <v>28</v>
      </c>
      <c r="BW41" s="16">
        <v>138.36123000000001</v>
      </c>
      <c r="BX41" s="16">
        <v>36.662587500000001</v>
      </c>
      <c r="BY41" s="47">
        <v>8.3196817919802229E-4</v>
      </c>
      <c r="BZ41" s="16">
        <v>0.13780011249656685</v>
      </c>
      <c r="CA41" s="16">
        <v>0.6809354663986914</v>
      </c>
      <c r="CB41" s="16">
        <v>0.18043245292554375</v>
      </c>
      <c r="CC41" s="47">
        <v>0.24860876533399098</v>
      </c>
      <c r="CD41" s="16">
        <v>41.177435252006788</v>
      </c>
      <c r="CE41" s="16">
        <v>203.47716391832211</v>
      </c>
      <c r="CF41" s="16">
        <v>53.916832962581545</v>
      </c>
      <c r="CG41" s="47">
        <v>0.67648643628296867</v>
      </c>
      <c r="CH41" s="16">
        <v>0.47059926002293473</v>
      </c>
      <c r="CI41" s="16">
        <v>1.6765098638317046</v>
      </c>
      <c r="CJ41" s="16">
        <v>0.48530548689865138</v>
      </c>
      <c r="CK41" s="47">
        <v>0.47062268757167097</v>
      </c>
      <c r="CL41" s="16">
        <v>0.32001593035993137</v>
      </c>
      <c r="CM41" s="16">
        <v>0.32001593035993131</v>
      </c>
      <c r="CN41" s="16">
        <v>0.47062268757167081</v>
      </c>
      <c r="CO41" s="47">
        <v>1.1907198053057644</v>
      </c>
      <c r="CP41" s="16">
        <v>1.1907198053057642</v>
      </c>
      <c r="CQ41" s="16">
        <v>1.1907198053057639</v>
      </c>
      <c r="CR41" s="16">
        <v>1.1907198053057642</v>
      </c>
      <c r="CU41" s="16">
        <v>-68.393584405206823</v>
      </c>
      <c r="CV41" s="47">
        <v>8.0660000000000007</v>
      </c>
      <c r="CW41" s="47">
        <v>2.0350186284713163</v>
      </c>
      <c r="CX41" s="47">
        <v>7.4792442852971517</v>
      </c>
      <c r="CY41" s="47">
        <v>11.642681599343103</v>
      </c>
      <c r="DB41" s="16">
        <v>-107.81947162973813</v>
      </c>
      <c r="DC41" s="52">
        <v>3.9422110285096208</v>
      </c>
      <c r="DD41" s="47">
        <v>3.6931083672733584</v>
      </c>
      <c r="DE41" s="47">
        <v>4.6931083672733589</v>
      </c>
      <c r="DF41" s="47">
        <v>6.0085546665228566</v>
      </c>
      <c r="DI41" s="16">
        <v>-35.846415635541661</v>
      </c>
      <c r="DJ41" s="47">
        <v>27.333333333333332</v>
      </c>
      <c r="DK41" s="16">
        <v>21.88666666666667</v>
      </c>
      <c r="DL41" s="47">
        <v>0.55532981172964924</v>
      </c>
      <c r="DM41" s="16">
        <v>0.44467018827035087</v>
      </c>
      <c r="DN41" s="47">
        <v>-19.906583246068106</v>
      </c>
      <c r="DO41" s="16">
        <v>-15.93983238947356</v>
      </c>
      <c r="DP41" s="47">
        <v>0.59719749738204309</v>
      </c>
      <c r="DQ41" s="16">
        <v>1.951816210955946</v>
      </c>
      <c r="DR41" s="47">
        <v>0.3730801009626874</v>
      </c>
      <c r="DS41" s="16">
        <v>0.37308010096268729</v>
      </c>
      <c r="DV41" s="16">
        <v>-48.435220508180187</v>
      </c>
      <c r="DW41" s="47">
        <v>1.6217149723721047</v>
      </c>
      <c r="DX41" s="47">
        <v>0.65257153424434844</v>
      </c>
      <c r="DY41" s="47">
        <v>1.0256516352070357</v>
      </c>
      <c r="DZ41" s="47">
        <v>1.2112221848251212</v>
      </c>
    </row>
    <row r="42" spans="1:130" x14ac:dyDescent="0.35">
      <c r="A42" s="13">
        <v>44105</v>
      </c>
      <c r="B42" s="47">
        <v>-58.567884306515225</v>
      </c>
      <c r="C42" s="47">
        <v>22.531999999999996</v>
      </c>
      <c r="D42" s="16">
        <v>3.2560499999999997</v>
      </c>
      <c r="E42" s="16">
        <v>25.518441666666664</v>
      </c>
      <c r="F42" s="47">
        <v>0.43916469959373239</v>
      </c>
      <c r="G42" s="16">
        <v>6.3462729456425185E-2</v>
      </c>
      <c r="H42" s="16">
        <v>0.4973725709498425</v>
      </c>
      <c r="I42" s="47">
        <v>-25.720947317311232</v>
      </c>
      <c r="J42" s="16">
        <v>-3.7168777965795861</v>
      </c>
      <c r="K42" s="16">
        <v>-29.130059192624412</v>
      </c>
      <c r="L42" s="47">
        <v>0.98171554646226089</v>
      </c>
      <c r="M42" s="16">
        <v>0.55934955554245092</v>
      </c>
      <c r="N42" s="16">
        <v>0.87897787299528019</v>
      </c>
      <c r="O42" s="47">
        <v>0.14152970518867547</v>
      </c>
      <c r="P42" s="16">
        <v>0.14152970518867536</v>
      </c>
      <c r="Q42" s="16">
        <v>0.14152970518867553</v>
      </c>
      <c r="R42" s="47">
        <v>1.4264196133988929</v>
      </c>
      <c r="S42" s="16">
        <v>1.4264196133988927</v>
      </c>
      <c r="T42" s="16">
        <v>1.4264196133988931</v>
      </c>
      <c r="V42" s="16">
        <v>-98.290659688437302</v>
      </c>
      <c r="W42" s="47">
        <v>62.937666666666672</v>
      </c>
      <c r="X42" s="16">
        <v>27.966750000000001</v>
      </c>
      <c r="Y42" s="16">
        <v>31.916499999999999</v>
      </c>
      <c r="Z42" s="47">
        <v>0.51243443197446692</v>
      </c>
      <c r="AA42" s="16">
        <v>0.22770347884555495</v>
      </c>
      <c r="AB42" s="16">
        <v>0.25986208917997816</v>
      </c>
      <c r="AC42" s="47">
        <v>-50.367518365839999</v>
      </c>
      <c r="AD42" s="16">
        <v>-22.381125149081722</v>
      </c>
      <c r="AE42" s="16">
        <v>-25.542016173515577</v>
      </c>
      <c r="AF42" s="47">
        <v>0.68823755453208835</v>
      </c>
      <c r="AG42" s="16">
        <v>0.3921353508380504</v>
      </c>
      <c r="AH42" s="16">
        <v>0.61621269417407909</v>
      </c>
      <c r="AI42" s="47">
        <v>-0.24956854553612332</v>
      </c>
      <c r="AJ42" s="16">
        <v>-0.24956854553612309</v>
      </c>
      <c r="AK42" s="16">
        <v>-0.24956854553612337</v>
      </c>
      <c r="AM42" s="16">
        <v>-224.89672452475651</v>
      </c>
      <c r="AN42" s="47">
        <v>21.735583333333334</v>
      </c>
      <c r="AO42" s="16">
        <v>1.4548333333333334</v>
      </c>
      <c r="AP42" s="16">
        <v>4.3504999999999994</v>
      </c>
      <c r="AQ42" s="16">
        <v>57.332249999999995</v>
      </c>
      <c r="AR42" s="16">
        <v>44.545416666666675</v>
      </c>
      <c r="AS42" s="47">
        <v>0.1679479312283205</v>
      </c>
      <c r="AT42" s="16">
        <v>1.1241301642023331E-2</v>
      </c>
      <c r="AU42" s="16">
        <v>3.3615728807622286E-2</v>
      </c>
      <c r="AV42" s="16">
        <v>0.44299859049093276</v>
      </c>
      <c r="AW42" s="16">
        <v>0.34419644783110104</v>
      </c>
      <c r="AX42" s="47">
        <v>-37.770939623958348</v>
      </c>
      <c r="AY42" s="16">
        <v>-2.5281319186858142</v>
      </c>
      <c r="AZ42" s="16">
        <v>-7.5600673013467512</v>
      </c>
      <c r="BA42" s="16">
        <v>-99.628931970494719</v>
      </c>
      <c r="BB42" s="16">
        <v>-77.408653710270855</v>
      </c>
      <c r="BC42" s="47">
        <v>0.85149591487413157</v>
      </c>
      <c r="BD42" s="16">
        <v>1.494462217942353</v>
      </c>
      <c r="BE42" s="16">
        <v>1.3380650090879207</v>
      </c>
      <c r="BF42" s="16">
        <v>1.4423298149908754</v>
      </c>
      <c r="BG42" s="16">
        <v>0.9557607207770864</v>
      </c>
      <c r="BH42" s="47">
        <v>0.73774676504924808</v>
      </c>
      <c r="BI42" s="16">
        <v>0.73774676504924774</v>
      </c>
      <c r="BJ42" s="16">
        <v>0.73774676504924763</v>
      </c>
      <c r="BK42" s="16">
        <v>0.73774676504924763</v>
      </c>
      <c r="BL42" s="16">
        <v>0.73774676504924785</v>
      </c>
      <c r="BM42" s="47">
        <v>2.1714336977126925</v>
      </c>
      <c r="BN42" s="16">
        <v>2.1714336977126916</v>
      </c>
      <c r="BO42" s="16">
        <v>2.171433697712692</v>
      </c>
      <c r="BP42" s="16">
        <v>2.1714336977126916</v>
      </c>
      <c r="BQ42" s="16">
        <v>2.1714336977126925</v>
      </c>
      <c r="BT42" s="16">
        <v>-306.73001274692382</v>
      </c>
      <c r="BU42" s="47">
        <v>0.18007499999999999</v>
      </c>
      <c r="BV42" s="16">
        <v>29.75</v>
      </c>
      <c r="BW42" s="16">
        <v>158.99404500000003</v>
      </c>
      <c r="BX42" s="16">
        <v>36.662587500000001</v>
      </c>
      <c r="BY42" s="47">
        <v>7.982518207549971E-4</v>
      </c>
      <c r="BZ42" s="16">
        <v>0.13187833773406174</v>
      </c>
      <c r="CA42" s="16">
        <v>0.70480236518368444</v>
      </c>
      <c r="CB42" s="16">
        <v>0.16252104526149883</v>
      </c>
      <c r="CC42" s="47">
        <v>0.2448477911554354</v>
      </c>
      <c r="CD42" s="16">
        <v>40.451044214211883</v>
      </c>
      <c r="CE42" s="16">
        <v>216.18403845685359</v>
      </c>
      <c r="CF42" s="16">
        <v>49.850082284702914</v>
      </c>
      <c r="CG42" s="47">
        <v>0.66625249293996025</v>
      </c>
      <c r="CH42" s="16">
        <v>0.46229764816242153</v>
      </c>
      <c r="CI42" s="16">
        <v>1.7812056443905062</v>
      </c>
      <c r="CJ42" s="16">
        <v>0.44870065851058549</v>
      </c>
      <c r="CK42" s="47">
        <v>0.35969896518359235</v>
      </c>
      <c r="CL42" s="16">
        <v>0.2645430896058853</v>
      </c>
      <c r="CM42" s="16">
        <v>0.26454308960588518</v>
      </c>
      <c r="CN42" s="16">
        <v>0.35969896518359235</v>
      </c>
      <c r="CO42" s="47">
        <v>1.209954747553694</v>
      </c>
      <c r="CP42" s="16">
        <v>1.2099547475536943</v>
      </c>
      <c r="CQ42" s="16">
        <v>1.209954747553694</v>
      </c>
      <c r="CR42" s="16">
        <v>1.2099547475536938</v>
      </c>
      <c r="CU42" s="16">
        <v>-70.609472732318736</v>
      </c>
      <c r="CV42" s="47">
        <v>9.074250000000001</v>
      </c>
      <c r="CW42" s="47">
        <v>2.1009513334684473</v>
      </c>
      <c r="CX42" s="47">
        <v>6.7813012350683231</v>
      </c>
      <c r="CY42" s="47">
        <v>10.402159738916302</v>
      </c>
      <c r="DB42" s="16">
        <v>-107.84748835914678</v>
      </c>
      <c r="DC42" s="52">
        <v>3.9432354061845256</v>
      </c>
      <c r="DD42" s="47">
        <v>3.5851574490517741</v>
      </c>
      <c r="DE42" s="47">
        <v>4.5851574490517741</v>
      </c>
      <c r="DF42" s="47">
        <v>5.7294685246657462</v>
      </c>
      <c r="DI42" s="16">
        <v>-36.325147609613929</v>
      </c>
      <c r="DJ42" s="47">
        <v>27</v>
      </c>
      <c r="DK42" s="16">
        <v>21.560000000000002</v>
      </c>
      <c r="DL42" s="47">
        <v>0.55601317957166385</v>
      </c>
      <c r="DM42" s="16">
        <v>0.44398682042833609</v>
      </c>
      <c r="DN42" s="47">
        <v>-20.197260820831467</v>
      </c>
      <c r="DO42" s="16">
        <v>-16.127886788782462</v>
      </c>
      <c r="DP42" s="47">
        <v>0.60591782462494403</v>
      </c>
      <c r="DQ42" s="16">
        <v>1.974843280259077</v>
      </c>
      <c r="DR42" s="47">
        <v>0.33681493938782947</v>
      </c>
      <c r="DS42" s="16">
        <v>0.33681493938782936</v>
      </c>
      <c r="DV42" s="16">
        <v>-49.446876849824633</v>
      </c>
      <c r="DW42" s="47">
        <v>1.6555873945253783</v>
      </c>
      <c r="DX42" s="47">
        <v>0.59460020578184702</v>
      </c>
      <c r="DY42" s="47">
        <v>0.93141514516967638</v>
      </c>
      <c r="DZ42" s="47">
        <v>1.125934635922796</v>
      </c>
    </row>
    <row r="43" spans="1:130" x14ac:dyDescent="0.35">
      <c r="A43" s="13">
        <v>44136</v>
      </c>
      <c r="B43" s="47">
        <v>-64.288932635857194</v>
      </c>
      <c r="C43" s="47">
        <v>23.317999999999998</v>
      </c>
      <c r="D43" s="16">
        <v>3.6547499999999999</v>
      </c>
      <c r="E43" s="16">
        <v>26.181258333333332</v>
      </c>
      <c r="F43" s="47">
        <v>0.43868751823514091</v>
      </c>
      <c r="G43" s="16">
        <v>6.875774968993402E-2</v>
      </c>
      <c r="H43" s="16">
        <v>0.49255473207492506</v>
      </c>
      <c r="I43" s="47">
        <v>-28.202752308010346</v>
      </c>
      <c r="J43" s="16">
        <v>-4.4203623380092987</v>
      </c>
      <c r="K43" s="16">
        <v>-31.665817989837546</v>
      </c>
      <c r="L43" s="47">
        <v>1.0764409277866545</v>
      </c>
      <c r="M43" s="16">
        <v>0.66521630368838214</v>
      </c>
      <c r="N43" s="16">
        <v>0.95549250893422144</v>
      </c>
      <c r="O43" s="47">
        <v>0.20948418852433084</v>
      </c>
      <c r="P43" s="16">
        <v>0.20948418852433107</v>
      </c>
      <c r="Q43" s="16">
        <v>0.20948418852433087</v>
      </c>
      <c r="R43" s="47">
        <v>1.5911087848295931</v>
      </c>
      <c r="S43" s="16">
        <v>1.5911087848295939</v>
      </c>
      <c r="T43" s="16">
        <v>1.5911087848295935</v>
      </c>
      <c r="V43" s="16">
        <v>-98.264758356504302</v>
      </c>
      <c r="W43" s="47">
        <v>65.133166666666668</v>
      </c>
      <c r="X43" s="16">
        <v>31.391249999999999</v>
      </c>
      <c r="Y43" s="16">
        <v>32.7455</v>
      </c>
      <c r="Z43" s="47">
        <v>0.50385401604781732</v>
      </c>
      <c r="AA43" s="16">
        <v>0.24283492098896431</v>
      </c>
      <c r="AB43" s="16">
        <v>0.25331106296321843</v>
      </c>
      <c r="AC43" s="47">
        <v>-49.511093133893013</v>
      </c>
      <c r="AD43" s="16">
        <v>-23.862114831501394</v>
      </c>
      <c r="AE43" s="16">
        <v>-24.891550391109906</v>
      </c>
      <c r="AF43" s="47">
        <v>0.67653509178628579</v>
      </c>
      <c r="AG43" s="16">
        <v>0.41808348368815407</v>
      </c>
      <c r="AH43" s="16">
        <v>0.60051991293389406</v>
      </c>
      <c r="AI43" s="47">
        <v>-0.3155267343931758</v>
      </c>
      <c r="AJ43" s="16">
        <v>-0.31552673439317613</v>
      </c>
      <c r="AK43" s="16">
        <v>-0.31552673439317602</v>
      </c>
      <c r="AM43" s="16">
        <v>-246.90246869711572</v>
      </c>
      <c r="AN43" s="47">
        <v>24.397083333333331</v>
      </c>
      <c r="AO43" s="16">
        <v>1.5055833333333333</v>
      </c>
      <c r="AP43" s="16">
        <v>4.4634999999999998</v>
      </c>
      <c r="AQ43" s="16">
        <v>61.476750000000003</v>
      </c>
      <c r="AR43" s="16">
        <v>49.404916666666658</v>
      </c>
      <c r="AS43" s="47">
        <v>0.17272536333890667</v>
      </c>
      <c r="AT43" s="16">
        <v>1.0659160553495216E-2</v>
      </c>
      <c r="AU43" s="16">
        <v>3.1600484727199354E-2</v>
      </c>
      <c r="AV43" s="16">
        <v>0.43524030457104362</v>
      </c>
      <c r="AW43" s="16">
        <v>0.34977468680935514</v>
      </c>
      <c r="AX43" s="47">
        <v>-42.646318614982341</v>
      </c>
      <c r="AY43" s="16">
        <v>-2.6317730548968834</v>
      </c>
      <c r="AZ43" s="16">
        <v>-7.8022376911710225</v>
      </c>
      <c r="BA43" s="16">
        <v>-107.46190567507522</v>
      </c>
      <c r="BB43" s="16">
        <v>-86.360233660990261</v>
      </c>
      <c r="BC43" s="47">
        <v>0.96140489081305303</v>
      </c>
      <c r="BD43" s="16">
        <v>1.5557279142247586</v>
      </c>
      <c r="BE43" s="16">
        <v>1.3809270249860219</v>
      </c>
      <c r="BF43" s="16">
        <v>1.5557279142247589</v>
      </c>
      <c r="BG43" s="16">
        <v>1.0662854243562949</v>
      </c>
      <c r="BH43" s="47">
        <v>0.74800889238736901</v>
      </c>
      <c r="BI43" s="16">
        <v>0.74800889238736923</v>
      </c>
      <c r="BJ43" s="16">
        <v>0.74800889238736945</v>
      </c>
      <c r="BK43" s="16">
        <v>0.74800889238736945</v>
      </c>
      <c r="BL43" s="16">
        <v>0.74800889238736878</v>
      </c>
      <c r="BM43" s="47">
        <v>2.2995524298925885</v>
      </c>
      <c r="BN43" s="16">
        <v>2.2995524298925876</v>
      </c>
      <c r="BO43" s="16">
        <v>2.2995524298925889</v>
      </c>
      <c r="BP43" s="16">
        <v>2.2995524298925885</v>
      </c>
      <c r="BQ43" s="16">
        <v>2.2995524298925876</v>
      </c>
      <c r="BT43" s="16">
        <v>-326.96830868898473</v>
      </c>
      <c r="BU43" s="47">
        <v>0.20212500000000003</v>
      </c>
      <c r="BV43" s="16">
        <v>29.75</v>
      </c>
      <c r="BW43" s="16">
        <v>165.06252000000003</v>
      </c>
      <c r="BX43" s="16">
        <v>42.217525000000002</v>
      </c>
      <c r="BY43" s="47">
        <v>8.5201345163263482E-4</v>
      </c>
      <c r="BZ43" s="16">
        <v>0.12540457729657828</v>
      </c>
      <c r="CA43" s="16">
        <v>0.69578472430615135</v>
      </c>
      <c r="CB43" s="16">
        <v>0.17795868494563785</v>
      </c>
      <c r="CC43" s="47">
        <v>0.27858139726058673</v>
      </c>
      <c r="CD43" s="16">
        <v>41.003322540519257</v>
      </c>
      <c r="CE43" s="16">
        <v>227.49955451801384</v>
      </c>
      <c r="CF43" s="16">
        <v>58.186850233191095</v>
      </c>
      <c r="CG43" s="47">
        <v>0.75804461839615445</v>
      </c>
      <c r="CH43" s="16">
        <v>0.4686094004630772</v>
      </c>
      <c r="CI43" s="16">
        <v>1.8744376018523088</v>
      </c>
      <c r="CJ43" s="16">
        <v>0.52373991816461563</v>
      </c>
      <c r="CK43" s="47">
        <v>0.37826294253846254</v>
      </c>
      <c r="CL43" s="16">
        <v>0.27444904079172566</v>
      </c>
      <c r="CM43" s="16">
        <v>0.27444904079172566</v>
      </c>
      <c r="CN43" s="16">
        <v>0.37826294253846215</v>
      </c>
      <c r="CO43" s="47">
        <v>1.2917959516964344</v>
      </c>
      <c r="CP43" s="16">
        <v>1.2917959516964339</v>
      </c>
      <c r="CQ43" s="16">
        <v>1.2917959516964339</v>
      </c>
      <c r="CR43" s="16">
        <v>1.2917959516964339</v>
      </c>
      <c r="CU43" s="16">
        <v>-70.49160633194046</v>
      </c>
      <c r="CV43" s="47">
        <v>10.0825</v>
      </c>
      <c r="CW43" s="47">
        <v>2.0974442746920046</v>
      </c>
      <c r="CX43" s="47">
        <v>5.9914809156400155</v>
      </c>
      <c r="CY43" s="47">
        <v>8.3972299114995579</v>
      </c>
      <c r="DB43" s="16">
        <v>-107.84599810758249</v>
      </c>
      <c r="DC43" s="52">
        <v>3.943180918010329</v>
      </c>
      <c r="DD43" s="47">
        <v>3.4305403573149764</v>
      </c>
      <c r="DE43" s="47">
        <v>4.4305403573149764</v>
      </c>
      <c r="DF43" s="47">
        <v>5.8284942878557455</v>
      </c>
      <c r="DI43" s="16">
        <v>-40.77627758822711</v>
      </c>
      <c r="DJ43" s="47">
        <v>27.333333333333332</v>
      </c>
      <c r="DK43" s="16">
        <v>21.641666666666666</v>
      </c>
      <c r="DL43" s="47">
        <v>0.55810787816913399</v>
      </c>
      <c r="DM43" s="16">
        <v>0.44189212183086612</v>
      </c>
      <c r="DN43" s="47">
        <v>-22.757561764401043</v>
      </c>
      <c r="DO43" s="16">
        <v>-18.018715823826071</v>
      </c>
      <c r="DP43" s="47">
        <v>0.68272685293203128</v>
      </c>
      <c r="DQ43" s="16">
        <v>2.2063733661827842</v>
      </c>
      <c r="DR43" s="47">
        <v>0.20106598484948543</v>
      </c>
      <c r="DS43" s="16">
        <v>0.20106598484948535</v>
      </c>
      <c r="DV43" s="16">
        <v>-49.57231656379335</v>
      </c>
      <c r="DW43" s="47">
        <v>1.6597873849484381</v>
      </c>
      <c r="DX43" s="47">
        <v>0.59659003558598744</v>
      </c>
      <c r="DY43" s="47">
        <v>0.79765602043547279</v>
      </c>
      <c r="DZ43" s="47">
        <v>1.0576328012442171</v>
      </c>
    </row>
    <row r="44" spans="1:130" x14ac:dyDescent="0.35">
      <c r="A44" s="13">
        <v>44166</v>
      </c>
      <c r="B44" s="47">
        <v>-84.079817458233123</v>
      </c>
      <c r="C44" s="47">
        <v>24.889999999999997</v>
      </c>
      <c r="D44" s="16">
        <v>4.18635</v>
      </c>
      <c r="E44" s="16">
        <v>28.501116666666665</v>
      </c>
      <c r="F44" s="47">
        <v>0.4322871678967003</v>
      </c>
      <c r="G44" s="16">
        <v>7.2708131190210981E-2</v>
      </c>
      <c r="H44" s="16">
        <v>0.49500470091308868</v>
      </c>
      <c r="I44" s="47">
        <v>-36.346626166291138</v>
      </c>
      <c r="J44" s="16">
        <v>-6.1132863982022059</v>
      </c>
      <c r="K44" s="16">
        <v>-41.619904893739779</v>
      </c>
      <c r="L44" s="47">
        <v>1.3872758078737077</v>
      </c>
      <c r="M44" s="16">
        <v>0.91998290416887984</v>
      </c>
      <c r="N44" s="16">
        <v>1.2558496787067248</v>
      </c>
      <c r="O44" s="47">
        <v>0.46029032407758719</v>
      </c>
      <c r="P44" s="16">
        <v>0.46029032407758702</v>
      </c>
      <c r="Q44" s="16">
        <v>0.46029032407758702</v>
      </c>
      <c r="R44" s="47">
        <v>1.9388695581288848</v>
      </c>
      <c r="S44" s="16">
        <v>1.9388695581288842</v>
      </c>
      <c r="T44" s="16">
        <v>1.9388695581288842</v>
      </c>
      <c r="V44" s="16">
        <v>-106.29310282720107</v>
      </c>
      <c r="W44" s="47">
        <v>69.524166666666659</v>
      </c>
      <c r="X44" s="16">
        <v>35.957249999999995</v>
      </c>
      <c r="Y44" s="16">
        <v>35.646999999999998</v>
      </c>
      <c r="Z44" s="47">
        <v>0.49263052975983457</v>
      </c>
      <c r="AA44" s="16">
        <v>0.25478391134315614</v>
      </c>
      <c r="AB44" s="16">
        <v>0.25258555889700929</v>
      </c>
      <c r="AC44" s="47">
        <v>-52.363227555580629</v>
      </c>
      <c r="AD44" s="16">
        <v>-27.081772487114577</v>
      </c>
      <c r="AE44" s="16">
        <v>-26.848102784505858</v>
      </c>
      <c r="AF44" s="47">
        <v>0.71550755029260704</v>
      </c>
      <c r="AG44" s="16">
        <v>0.47449448072036055</v>
      </c>
      <c r="AH44" s="16">
        <v>0.64772262447541284</v>
      </c>
      <c r="AI44" s="47">
        <v>-0.32772882635759348</v>
      </c>
      <c r="AJ44" s="16">
        <v>-0.32772882635759332</v>
      </c>
      <c r="AK44" s="16">
        <v>-0.32772882635759321</v>
      </c>
      <c r="AM44" s="16">
        <v>-320.11634523509105</v>
      </c>
      <c r="AN44" s="47">
        <v>27.94575</v>
      </c>
      <c r="AO44" s="16">
        <v>1.6070833333333334</v>
      </c>
      <c r="AP44" s="16">
        <v>4.859</v>
      </c>
      <c r="AQ44" s="16">
        <v>62.858249999999998</v>
      </c>
      <c r="AR44" s="16">
        <v>53.454500000000003</v>
      </c>
      <c r="AS44" s="47">
        <v>0.18540936973895544</v>
      </c>
      <c r="AT44" s="16">
        <v>1.0662383652301799E-2</v>
      </c>
      <c r="AU44" s="16">
        <v>3.2237607777983575E-2</v>
      </c>
      <c r="AV44" s="16">
        <v>0.41704046287516688</v>
      </c>
      <c r="AW44" s="16">
        <v>0.35465017595559234</v>
      </c>
      <c r="AX44" s="47">
        <v>-59.352569813176103</v>
      </c>
      <c r="AY44" s="16">
        <v>-3.4132032862692334</v>
      </c>
      <c r="AZ44" s="16">
        <v>-10.319785181010447</v>
      </c>
      <c r="BA44" s="16">
        <v>-133.5014687907491</v>
      </c>
      <c r="BB44" s="16">
        <v>-113.52931816388619</v>
      </c>
      <c r="BC44" s="47">
        <v>1.3380252447080843</v>
      </c>
      <c r="BD44" s="16">
        <v>2.0176571150360001</v>
      </c>
      <c r="BE44" s="16">
        <v>1.8265106515062741</v>
      </c>
      <c r="BF44" s="16">
        <v>1.9327031312450105</v>
      </c>
      <c r="BG44" s="16">
        <v>1.4017407325513265</v>
      </c>
      <c r="BH44" s="47">
        <v>1.1238495947747369</v>
      </c>
      <c r="BI44" s="16">
        <v>1.1238495947747371</v>
      </c>
      <c r="BJ44" s="16">
        <v>1.1238495947747373</v>
      </c>
      <c r="BK44" s="16">
        <v>1.1238495947747367</v>
      </c>
      <c r="BL44" s="16">
        <v>1.1238495947747369</v>
      </c>
      <c r="BM44" s="47">
        <v>2.8198963298303115</v>
      </c>
      <c r="BN44" s="16">
        <v>2.8198963298303124</v>
      </c>
      <c r="BO44" s="16">
        <v>2.8198963298303124</v>
      </c>
      <c r="BP44" s="16">
        <v>2.8198963298303115</v>
      </c>
      <c r="BQ44" s="16">
        <v>2.8198963298303124</v>
      </c>
      <c r="BT44" s="16">
        <v>-360.03692593592444</v>
      </c>
      <c r="BU44" s="47">
        <v>0.23152500000000001</v>
      </c>
      <c r="BV44" s="16">
        <v>32.375</v>
      </c>
      <c r="BW44" s="16">
        <v>178.41316500000002</v>
      </c>
      <c r="BX44" s="16">
        <v>45.550487499999996</v>
      </c>
      <c r="BY44" s="47">
        <v>9.0238468966253888E-4</v>
      </c>
      <c r="BZ44" s="16">
        <v>0.12618380014177602</v>
      </c>
      <c r="CA44" s="16">
        <v>0.69537764185395246</v>
      </c>
      <c r="CB44" s="16">
        <v>0.177536173314609</v>
      </c>
      <c r="CC44" s="47">
        <v>0.32489180967774367</v>
      </c>
      <c r="CD44" s="16">
        <v>45.430827505958106</v>
      </c>
      <c r="CE44" s="16">
        <v>250.36162853766928</v>
      </c>
      <c r="CF44" s="16">
        <v>63.919578082619324</v>
      </c>
      <c r="CG44" s="47">
        <v>0.88405934606188752</v>
      </c>
      <c r="CH44" s="16">
        <v>0.5192094572109498</v>
      </c>
      <c r="CI44" s="16">
        <v>2.0628051408110708</v>
      </c>
      <c r="CJ44" s="16">
        <v>0.57534020934186314</v>
      </c>
      <c r="CK44" s="47">
        <v>0.40326880327283732</v>
      </c>
      <c r="CL44" s="16">
        <v>0.28737815757914331</v>
      </c>
      <c r="CM44" s="16">
        <v>0.28737815757914331</v>
      </c>
      <c r="CN44" s="16">
        <v>0.40326880327283698</v>
      </c>
      <c r="CO44" s="47">
        <v>1.2972659102677253</v>
      </c>
      <c r="CP44" s="16">
        <v>1.2972659102677253</v>
      </c>
      <c r="CQ44" s="16">
        <v>1.2972659102677253</v>
      </c>
      <c r="CR44" s="16">
        <v>1.2972659102677251</v>
      </c>
      <c r="CU44" s="16">
        <v>-72.896080899657647</v>
      </c>
      <c r="CV44" s="47">
        <v>13.443333333333335</v>
      </c>
      <c r="CW44" s="47">
        <v>2.1689882737314452</v>
      </c>
      <c r="CX44" s="47">
        <v>4.422470684328613</v>
      </c>
      <c r="CY44" s="47">
        <v>5.917292048349025</v>
      </c>
      <c r="DB44" s="16">
        <v>-107.87639923949401</v>
      </c>
      <c r="DC44" s="52">
        <v>3.9442924767639491</v>
      </c>
      <c r="DD44" s="47">
        <v>3.151886817646262</v>
      </c>
      <c r="DE44" s="47">
        <v>4.151886817646262</v>
      </c>
      <c r="DF44" s="47">
        <v>5.512579811563036</v>
      </c>
      <c r="DI44" s="16">
        <v>-46.394643200518296</v>
      </c>
      <c r="DJ44" s="47">
        <v>28.333333333333332</v>
      </c>
      <c r="DK44" s="16">
        <v>22.295000000000002</v>
      </c>
      <c r="DL44" s="47">
        <v>0.55963393356816016</v>
      </c>
      <c r="DM44" s="16">
        <v>0.44036606643183995</v>
      </c>
      <c r="DN44" s="47">
        <v>-25.964016670797349</v>
      </c>
      <c r="DO44" s="16">
        <v>-20.43062652972095</v>
      </c>
      <c r="DP44" s="47">
        <v>0.77892050012392056</v>
      </c>
      <c r="DQ44" s="16">
        <v>2.501709370986239</v>
      </c>
      <c r="DR44" s="47">
        <v>9.1253856927338783E-2</v>
      </c>
      <c r="DS44" s="16">
        <v>9.1253856927338783E-2</v>
      </c>
      <c r="DV44" s="16">
        <v>-51.495336640841387</v>
      </c>
      <c r="DW44" s="47">
        <v>1.7241742178853143</v>
      </c>
      <c r="DX44" s="47">
        <v>0.58336667587358015</v>
      </c>
      <c r="DY44" s="47">
        <v>0.67462053280091894</v>
      </c>
      <c r="DZ44" s="47">
        <v>1</v>
      </c>
    </row>
    <row r="45" spans="1:130" x14ac:dyDescent="0.35">
      <c r="A45" s="13">
        <v>44197</v>
      </c>
      <c r="B45" s="47">
        <v>-84.93945462708777</v>
      </c>
      <c r="C45" s="47">
        <v>26.462</v>
      </c>
      <c r="D45" s="16">
        <v>4.7843999999999998</v>
      </c>
      <c r="E45" s="16">
        <v>30.489566666666665</v>
      </c>
      <c r="F45" s="47">
        <v>0.42863182402046562</v>
      </c>
      <c r="G45" s="16">
        <v>7.7497774123026067E-2</v>
      </c>
      <c r="H45" s="16">
        <v>0.49387040185650821</v>
      </c>
      <c r="I45" s="47">
        <v>-36.407753368112211</v>
      </c>
      <c r="J45" s="16">
        <v>-6.582618668823069</v>
      </c>
      <c r="K45" s="16">
        <v>-41.949082590152486</v>
      </c>
      <c r="L45" s="47">
        <v>1.3896089071798556</v>
      </c>
      <c r="M45" s="16">
        <v>0.99061229026682751</v>
      </c>
      <c r="N45" s="16">
        <v>1.2657823708965017</v>
      </c>
      <c r="O45" s="47">
        <v>0.37585040314837193</v>
      </c>
      <c r="P45" s="16">
        <v>0.37585040314837159</v>
      </c>
      <c r="Q45" s="16">
        <v>0.37585040314837137</v>
      </c>
      <c r="R45" s="47">
        <v>1.7995631879944789</v>
      </c>
      <c r="S45" s="16">
        <v>1.7995631879944782</v>
      </c>
      <c r="T45" s="16">
        <v>1.7995631879944787</v>
      </c>
      <c r="V45" s="16">
        <v>-117.08512877092596</v>
      </c>
      <c r="W45" s="47">
        <v>73.915166666666678</v>
      </c>
      <c r="X45" s="16">
        <v>41.094000000000001</v>
      </c>
      <c r="Y45" s="16">
        <v>38.134</v>
      </c>
      <c r="Z45" s="47">
        <v>0.4826540307054728</v>
      </c>
      <c r="AA45" s="16">
        <v>0.26833714421908039</v>
      </c>
      <c r="AB45" s="16">
        <v>0.24900882507544683</v>
      </c>
      <c r="AC45" s="47">
        <v>-56.511609336956738</v>
      </c>
      <c r="AD45" s="16">
        <v>-31.41828908491356</v>
      </c>
      <c r="AE45" s="16">
        <v>-29.155230349055671</v>
      </c>
      <c r="AF45" s="47">
        <v>0.77219233892448291</v>
      </c>
      <c r="AG45" s="16">
        <v>0.55047374656002734</v>
      </c>
      <c r="AH45" s="16">
        <v>0.70338312060447938</v>
      </c>
      <c r="AI45" s="47">
        <v>-0.307964284399322</v>
      </c>
      <c r="AJ45" s="16">
        <v>-0.30796428439932211</v>
      </c>
      <c r="AK45" s="16">
        <v>-0.30796428439932222</v>
      </c>
      <c r="AM45" s="16">
        <v>-319.96463979536315</v>
      </c>
      <c r="AN45" s="47">
        <v>31.937999999999999</v>
      </c>
      <c r="AO45" s="16">
        <v>1.7085833333333333</v>
      </c>
      <c r="AP45" s="16">
        <v>5.1979999999999995</v>
      </c>
      <c r="AQ45" s="16">
        <v>64.930499999999995</v>
      </c>
      <c r="AR45" s="16">
        <v>59.933833333333332</v>
      </c>
      <c r="AS45" s="47">
        <v>0.19509016766038503</v>
      </c>
      <c r="AT45" s="16">
        <v>1.0436715165687881E-2</v>
      </c>
      <c r="AU45" s="16">
        <v>3.1751477597178328E-2</v>
      </c>
      <c r="AV45" s="16">
        <v>0.39662164604147504</v>
      </c>
      <c r="AW45" s="16">
        <v>0.36609999353527378</v>
      </c>
      <c r="AX45" s="47">
        <v>-62.421955223072104</v>
      </c>
      <c r="AY45" s="16">
        <v>-3.3393798086361266</v>
      </c>
      <c r="AZ45" s="16">
        <v>-10.159350092351707</v>
      </c>
      <c r="BA45" s="16">
        <v>-126.90490211070458</v>
      </c>
      <c r="BB45" s="16">
        <v>-117.13905256059866</v>
      </c>
      <c r="BC45" s="47">
        <v>1.4072204822033916</v>
      </c>
      <c r="BD45" s="16">
        <v>1.9740176208686462</v>
      </c>
      <c r="BE45" s="16">
        <v>1.7981150605932223</v>
      </c>
      <c r="BF45" s="16">
        <v>1.8372045184322052</v>
      </c>
      <c r="BG45" s="16">
        <v>1.4463099400423747</v>
      </c>
      <c r="BH45" s="47">
        <v>0.95447289194915508</v>
      </c>
      <c r="BI45" s="16">
        <v>0.95447289194915463</v>
      </c>
      <c r="BJ45" s="16">
        <v>0.95447289194915463</v>
      </c>
      <c r="BK45" s="16">
        <v>0.95447289194915463</v>
      </c>
      <c r="BL45" s="16">
        <v>0.95447289194915497</v>
      </c>
      <c r="BM45" s="47">
        <v>2.5563807374961498</v>
      </c>
      <c r="BN45" s="16">
        <v>2.5563807374961494</v>
      </c>
      <c r="BO45" s="16">
        <v>2.5563807374961498</v>
      </c>
      <c r="BP45" s="16">
        <v>2.5563807374961494</v>
      </c>
      <c r="BQ45" s="16">
        <v>2.5563807374961498</v>
      </c>
      <c r="BT45" s="16">
        <v>-400.67546665585394</v>
      </c>
      <c r="BU45" s="47">
        <v>0.2646</v>
      </c>
      <c r="BV45" s="16">
        <v>35.875</v>
      </c>
      <c r="BW45" s="16">
        <v>186.90903000000003</v>
      </c>
      <c r="BX45" s="16">
        <v>49.994437500000004</v>
      </c>
      <c r="BY45" s="47">
        <v>9.6907789098142909E-4</v>
      </c>
      <c r="BZ45" s="16">
        <v>0.13138952886983662</v>
      </c>
      <c r="CA45" s="16">
        <v>0.6845404708910986</v>
      </c>
      <c r="CB45" s="16">
        <v>0.18310092234808342</v>
      </c>
      <c r="CC45" s="47">
        <v>0.38828573619485485</v>
      </c>
      <c r="CD45" s="16">
        <v>52.644560793614581</v>
      </c>
      <c r="CE45" s="16">
        <v>274.27857261910896</v>
      </c>
      <c r="CF45" s="16">
        <v>73.364047506935606</v>
      </c>
      <c r="CG45" s="47">
        <v>1.0565598263805573</v>
      </c>
      <c r="CH45" s="16">
        <v>0.60165212335559515</v>
      </c>
      <c r="CI45" s="16">
        <v>2.2598640730917481</v>
      </c>
      <c r="CJ45" s="16">
        <v>0.66034989148784851</v>
      </c>
      <c r="CK45" s="47">
        <v>0.46744420330632969</v>
      </c>
      <c r="CL45" s="16">
        <v>0.31854308480903143</v>
      </c>
      <c r="CM45" s="16">
        <v>0.31854308480903148</v>
      </c>
      <c r="CN45" s="16">
        <v>0.46744420330632996</v>
      </c>
      <c r="CO45" s="47">
        <v>1.2334163207624778</v>
      </c>
      <c r="CP45" s="16">
        <v>1.2334163207624775</v>
      </c>
      <c r="CQ45" s="16">
        <v>1.2334163207624778</v>
      </c>
      <c r="CR45" s="16">
        <v>1.2334163207624778</v>
      </c>
      <c r="CU45" s="16">
        <v>-76.562394508593826</v>
      </c>
      <c r="CV45" s="47">
        <v>13.443333333333335</v>
      </c>
      <c r="CW45" s="47">
        <v>2.2780776942800047</v>
      </c>
      <c r="CX45" s="47">
        <v>4.6951942357000114</v>
      </c>
      <c r="CY45" s="47">
        <v>5.6951942357000114</v>
      </c>
      <c r="DB45" s="16">
        <v>-107.96624270549009</v>
      </c>
      <c r="DC45" s="52">
        <v>3.9475774298168225</v>
      </c>
      <c r="DD45" s="47">
        <v>2.9084925047691308</v>
      </c>
      <c r="DE45" s="47">
        <v>3.9084925047691308</v>
      </c>
      <c r="DF45" s="47">
        <v>5.1121686020804704</v>
      </c>
      <c r="DI45" s="16">
        <v>-53.377684596746683</v>
      </c>
      <c r="DJ45" s="47">
        <v>29</v>
      </c>
      <c r="DK45" s="16">
        <v>22.458333333333332</v>
      </c>
      <c r="DL45" s="47">
        <v>0.56356275303643732</v>
      </c>
      <c r="DM45" s="16">
        <v>0.43643724696356279</v>
      </c>
      <c r="DN45" s="47">
        <v>-30.081674882053196</v>
      </c>
      <c r="DO45" s="16">
        <v>-23.296009714693493</v>
      </c>
      <c r="DP45" s="47">
        <v>0.90245024646159577</v>
      </c>
      <c r="DQ45" s="16">
        <v>2.852572618125734</v>
      </c>
      <c r="DR45" s="47">
        <v>-3.5957934067644706E-2</v>
      </c>
      <c r="DS45" s="16">
        <v>-3.5957934067644796E-2</v>
      </c>
      <c r="DV45" s="16">
        <v>-53.492376163899053</v>
      </c>
      <c r="DW45" s="47">
        <v>1.7910393804876916</v>
      </c>
      <c r="DX45" s="47">
        <v>0.53542129221702983</v>
      </c>
      <c r="DY45" s="47">
        <v>0.49946335814938503</v>
      </c>
      <c r="DZ45" s="47">
        <v>1</v>
      </c>
    </row>
    <row r="46" spans="1:130" x14ac:dyDescent="0.35">
      <c r="A46" s="13">
        <v>44228</v>
      </c>
      <c r="B46" s="47">
        <v>-86.18159458747246</v>
      </c>
      <c r="C46" s="47">
        <v>28.034000000000002</v>
      </c>
      <c r="D46" s="16">
        <v>5.64825</v>
      </c>
      <c r="E46" s="16">
        <v>32.146608333333333</v>
      </c>
      <c r="F46" s="47">
        <v>0.42586185921751901</v>
      </c>
      <c r="G46" s="16">
        <v>8.580203489781521E-2</v>
      </c>
      <c r="H46" s="16">
        <v>0.48833610588466586</v>
      </c>
      <c r="I46" s="47">
        <v>-36.701454101351494</v>
      </c>
      <c r="J46" s="16">
        <v>-7.3945561863436744</v>
      </c>
      <c r="K46" s="16">
        <v>-42.085584299777295</v>
      </c>
      <c r="L46" s="47">
        <v>1.4008188588302097</v>
      </c>
      <c r="M46" s="16">
        <v>1.11280002804269</v>
      </c>
      <c r="N46" s="16">
        <v>1.2699012084722461</v>
      </c>
      <c r="O46" s="47">
        <v>0.30917650357963516</v>
      </c>
      <c r="P46" s="16">
        <v>0.30917650357963528</v>
      </c>
      <c r="Q46" s="16">
        <v>0.30917650357963516</v>
      </c>
      <c r="R46" s="47">
        <v>1.7635255136170278</v>
      </c>
      <c r="S46" s="16">
        <v>1.763525513617028</v>
      </c>
      <c r="T46" s="16">
        <v>1.7635255136170276</v>
      </c>
      <c r="V46" s="16">
        <v>-123.99427084477574</v>
      </c>
      <c r="W46" s="47">
        <v>78.30616666666667</v>
      </c>
      <c r="X46" s="16">
        <v>48.513749999999995</v>
      </c>
      <c r="Y46" s="16">
        <v>40.206499999999998</v>
      </c>
      <c r="Z46" s="47">
        <v>0.46882504114868057</v>
      </c>
      <c r="AA46" s="16">
        <v>0.29045555169167347</v>
      </c>
      <c r="AB46" s="16">
        <v>0.24071940715964588</v>
      </c>
      <c r="AC46" s="47">
        <v>-58.13161913100263</v>
      </c>
      <c r="AD46" s="16">
        <v>-36.014824344826124</v>
      </c>
      <c r="AE46" s="16">
        <v>-29.84782736894698</v>
      </c>
      <c r="AF46" s="47">
        <v>0.7943286604099653</v>
      </c>
      <c r="AG46" s="16">
        <v>0.63100874892380421</v>
      </c>
      <c r="AH46" s="16">
        <v>0.7200923370071648</v>
      </c>
      <c r="AI46" s="47">
        <v>-0.34704946872715953</v>
      </c>
      <c r="AJ46" s="16">
        <v>-0.34704946872715942</v>
      </c>
      <c r="AK46" s="16">
        <v>-0.34704946872715942</v>
      </c>
      <c r="AM46" s="16">
        <v>-327.42426242496873</v>
      </c>
      <c r="AN46" s="47">
        <v>37.704583333333325</v>
      </c>
      <c r="AO46" s="16">
        <v>1.8100833333333337</v>
      </c>
      <c r="AP46" s="16">
        <v>5.4804999999999993</v>
      </c>
      <c r="AQ46" s="16">
        <v>66.311999999999998</v>
      </c>
      <c r="AR46" s="16">
        <v>65.603250000000003</v>
      </c>
      <c r="AS46" s="47">
        <v>0.21312811333419687</v>
      </c>
      <c r="AT46" s="16">
        <v>1.0231637952353477E-2</v>
      </c>
      <c r="AU46" s="16">
        <v>3.0978955921664681E-2</v>
      </c>
      <c r="AV46" s="16">
        <v>0.3748337788664225</v>
      </c>
      <c r="AW46" s="16">
        <v>0.37082751392536245</v>
      </c>
      <c r="AX46" s="47">
        <v>-69.783315310474549</v>
      </c>
      <c r="AY46" s="16">
        <v>-3.3500865099486545</v>
      </c>
      <c r="AZ46" s="16">
        <v>-10.143261793346676</v>
      </c>
      <c r="BA46" s="16">
        <v>-122.72967357730222</v>
      </c>
      <c r="BB46" s="16">
        <v>-121.41792523389663</v>
      </c>
      <c r="BC46" s="47">
        <v>1.5731726164300106</v>
      </c>
      <c r="BD46" s="16">
        <v>1.9803467053883672</v>
      </c>
      <c r="BE46" s="16">
        <v>1.7952675740436594</v>
      </c>
      <c r="BF46" s="16">
        <v>1.7767596609091889</v>
      </c>
      <c r="BG46" s="16">
        <v>1.4991409638921283</v>
      </c>
      <c r="BH46" s="47">
        <v>0.85079131344707137</v>
      </c>
      <c r="BI46" s="16">
        <v>0.85079131344707204</v>
      </c>
      <c r="BJ46" s="16">
        <v>0.8507913134470716</v>
      </c>
      <c r="BK46" s="16">
        <v>0.85079131344707182</v>
      </c>
      <c r="BL46" s="16">
        <v>0.85079131344707182</v>
      </c>
      <c r="BM46" s="47">
        <v>2.4931074555037194</v>
      </c>
      <c r="BN46" s="16">
        <v>2.4931074555037203</v>
      </c>
      <c r="BO46" s="16">
        <v>2.4931074555037194</v>
      </c>
      <c r="BP46" s="16">
        <v>2.4931074555037203</v>
      </c>
      <c r="BQ46" s="16">
        <v>2.4931074555037194</v>
      </c>
      <c r="BT46" s="16">
        <v>-452.95485874657521</v>
      </c>
      <c r="BU46" s="47">
        <v>0.31237500000000001</v>
      </c>
      <c r="BV46" s="16">
        <v>38.5</v>
      </c>
      <c r="BW46" s="16">
        <v>192.97750500000004</v>
      </c>
      <c r="BX46" s="16">
        <v>55.549374999999998</v>
      </c>
      <c r="BY46" s="47">
        <v>1.0871295674515478E-3</v>
      </c>
      <c r="BZ46" s="16">
        <v>0.13398795789318796</v>
      </c>
      <c r="CA46" s="16">
        <v>0.67160160556551873</v>
      </c>
      <c r="CB46" s="16">
        <v>0.19332330697384173</v>
      </c>
      <c r="CC46" s="47">
        <v>0.49242061966424128</v>
      </c>
      <c r="CD46" s="16">
        <v>60.690496541251022</v>
      </c>
      <c r="CE46" s="16">
        <v>304.20521038290264</v>
      </c>
      <c r="CF46" s="16">
        <v>87.566731202757282</v>
      </c>
      <c r="CG46" s="47">
        <v>1.3399200535081395</v>
      </c>
      <c r="CH46" s="16">
        <v>0.69360567475715462</v>
      </c>
      <c r="CI46" s="16">
        <v>2.5064386883269898</v>
      </c>
      <c r="CJ46" s="16">
        <v>0.78818826676949361</v>
      </c>
      <c r="CK46" s="47">
        <v>0.57637653353898766</v>
      </c>
      <c r="CL46" s="16">
        <v>0.36563379451292277</v>
      </c>
      <c r="CM46" s="16">
        <v>0.36563379451292255</v>
      </c>
      <c r="CN46" s="16">
        <v>0.57637653353898721</v>
      </c>
      <c r="CO46" s="47">
        <v>1.2148707300642472</v>
      </c>
      <c r="CP46" s="16">
        <v>1.2148707300642474</v>
      </c>
      <c r="CQ46" s="16">
        <v>1.2148707300642467</v>
      </c>
      <c r="CR46" s="16">
        <v>1.214870730064247</v>
      </c>
      <c r="CU46" s="16">
        <v>-73.857977868665103</v>
      </c>
      <c r="CV46" s="47">
        <v>13.779416666666668</v>
      </c>
      <c r="CW46" s="47">
        <v>2.1976090613041936</v>
      </c>
      <c r="CX46" s="47">
        <v>4.3600221007419364</v>
      </c>
      <c r="CY46" s="47">
        <v>5.3600221007419364</v>
      </c>
      <c r="DB46" s="16">
        <v>-107.92090262406848</v>
      </c>
      <c r="DC46" s="52">
        <v>3.9459196571871473</v>
      </c>
      <c r="DD46" s="47">
        <v>2.6877753805487354</v>
      </c>
      <c r="DE46" s="47">
        <v>3.6877753805487354</v>
      </c>
      <c r="DF46" s="47">
        <v>4.9676158671532722</v>
      </c>
      <c r="DI46" s="16">
        <v>-59.2675183681459</v>
      </c>
      <c r="DJ46" s="47">
        <v>29.666666666666668</v>
      </c>
      <c r="DK46" s="16">
        <v>22.948333333333334</v>
      </c>
      <c r="DL46" s="47">
        <v>0.56384427761411515</v>
      </c>
      <c r="DM46" s="16">
        <v>0.4361557223858849</v>
      </c>
      <c r="DN46" s="47">
        <v>-33.417651080268527</v>
      </c>
      <c r="DO46" s="16">
        <v>-25.849867287877377</v>
      </c>
      <c r="DP46" s="47">
        <v>1.0025295324080559</v>
      </c>
      <c r="DQ46" s="16">
        <v>3.1652898719849851</v>
      </c>
      <c r="DR46" s="47">
        <v>-0.11224560351629959</v>
      </c>
      <c r="DS46" s="16">
        <v>-0.11224560351629952</v>
      </c>
      <c r="DV46" s="16">
        <v>-52.189738721587212</v>
      </c>
      <c r="DW46" s="47">
        <v>1.7474242875531434</v>
      </c>
      <c r="DX46" s="47">
        <v>0.60808111688475153</v>
      </c>
      <c r="DY46" s="47">
        <v>0.495835513368452</v>
      </c>
      <c r="DZ46" s="47">
        <v>1</v>
      </c>
    </row>
    <row r="47" spans="1:130" x14ac:dyDescent="0.35">
      <c r="A47" s="13">
        <v>44256</v>
      </c>
      <c r="B47" s="47">
        <v>-80.411706434211837</v>
      </c>
      <c r="C47" s="47">
        <v>29.343999999999998</v>
      </c>
      <c r="D47" s="16">
        <v>6.6449999999999996</v>
      </c>
      <c r="E47" s="16">
        <v>34.135058333333333</v>
      </c>
      <c r="F47" s="47">
        <v>0.41845838215058623</v>
      </c>
      <c r="G47" s="16">
        <v>9.4760630772581983E-2</v>
      </c>
      <c r="H47" s="16">
        <v>0.48678098707683187</v>
      </c>
      <c r="I47" s="47">
        <v>-33.648952580428173</v>
      </c>
      <c r="J47" s="16">
        <v>-7.6198640232056025</v>
      </c>
      <c r="K47" s="16">
        <v>-39.142889830578071</v>
      </c>
      <c r="L47" s="47">
        <v>1.2843111671919152</v>
      </c>
      <c r="M47" s="16">
        <v>1.1467063992784956</v>
      </c>
      <c r="N47" s="16">
        <v>1.1811075912568505</v>
      </c>
      <c r="O47" s="47">
        <v>0.14670639927849558</v>
      </c>
      <c r="P47" s="16">
        <v>0.1467063992784956</v>
      </c>
      <c r="Q47" s="16">
        <v>0.1467063992784956</v>
      </c>
      <c r="R47" s="47">
        <v>1.6477331042993866</v>
      </c>
      <c r="S47" s="16">
        <v>1.647733104299387</v>
      </c>
      <c r="T47" s="16">
        <v>1.6477331042993866</v>
      </c>
      <c r="V47" s="16">
        <v>-126.47397148542103</v>
      </c>
      <c r="W47" s="47">
        <v>81.965333333333348</v>
      </c>
      <c r="X47" s="16">
        <v>57.074999999999996</v>
      </c>
      <c r="Y47" s="16">
        <v>42.6935</v>
      </c>
      <c r="Z47" s="47">
        <v>0.4510185683641737</v>
      </c>
      <c r="AA47" s="16">
        <v>0.31405819683181352</v>
      </c>
      <c r="AB47" s="16">
        <v>0.23492323480401284</v>
      </c>
      <c r="AC47" s="47">
        <v>-57.042109554685922</v>
      </c>
      <c r="AD47" s="16">
        <v>-39.72018743086953</v>
      </c>
      <c r="AE47" s="16">
        <v>-29.711674499865591</v>
      </c>
      <c r="AF47" s="47">
        <v>0.77944126014146109</v>
      </c>
      <c r="AG47" s="16">
        <v>0.69592969655487569</v>
      </c>
      <c r="AH47" s="16">
        <v>0.71680758745152218</v>
      </c>
      <c r="AI47" s="47">
        <v>-0.43692675416840376</v>
      </c>
      <c r="AJ47" s="16">
        <v>-0.43692675416840421</v>
      </c>
      <c r="AK47" s="16">
        <v>-0.43692675416840382</v>
      </c>
      <c r="AM47" s="16">
        <v>-305.42686338426404</v>
      </c>
      <c r="AN47" s="47">
        <v>44.358333333333327</v>
      </c>
      <c r="AO47" s="16">
        <v>1.8946666666666669</v>
      </c>
      <c r="AP47" s="16">
        <v>5.8195000000000006</v>
      </c>
      <c r="AQ47" s="16">
        <v>67.002749999999992</v>
      </c>
      <c r="AR47" s="16">
        <v>76.132166666666663</v>
      </c>
      <c r="AS47" s="47">
        <v>0.22723692619260966</v>
      </c>
      <c r="AT47" s="16">
        <v>9.7059153746292971E-3</v>
      </c>
      <c r="AU47" s="16">
        <v>2.9811879586200841E-2</v>
      </c>
      <c r="AV47" s="16">
        <v>0.34323875160139494</v>
      </c>
      <c r="AW47" s="16">
        <v>0.39000652724516532</v>
      </c>
      <c r="AX47" s="47">
        <v>-69.404261612090281</v>
      </c>
      <c r="AY47" s="16">
        <v>-2.9644472891461304</v>
      </c>
      <c r="AZ47" s="16">
        <v>-9.1053488736026935</v>
      </c>
      <c r="BA47" s="16">
        <v>-104.8343352935446</v>
      </c>
      <c r="BB47" s="16">
        <v>-119.11847031588036</v>
      </c>
      <c r="BC47" s="47">
        <v>1.5646273517660783</v>
      </c>
      <c r="BD47" s="16">
        <v>1.7523826339780082</v>
      </c>
      <c r="BE47" s="16">
        <v>1.6115661723190611</v>
      </c>
      <c r="BF47" s="16">
        <v>1.5176885312130959</v>
      </c>
      <c r="BG47" s="16">
        <v>1.4707497106601135</v>
      </c>
      <c r="BH47" s="47">
        <v>0.56462735176607826</v>
      </c>
      <c r="BI47" s="16">
        <v>0.56462735176607859</v>
      </c>
      <c r="BJ47" s="16">
        <v>0.5646273517660787</v>
      </c>
      <c r="BK47" s="16">
        <v>0.56462735176607826</v>
      </c>
      <c r="BL47" s="16">
        <v>0.56462735176607826</v>
      </c>
      <c r="BM47" s="47">
        <v>2.2482549020563369</v>
      </c>
      <c r="BN47" s="16">
        <v>2.2482549020563369</v>
      </c>
      <c r="BO47" s="16">
        <v>2.2482549020563365</v>
      </c>
      <c r="BP47" s="16">
        <v>2.248254902056336</v>
      </c>
      <c r="BQ47" s="16">
        <v>2.2482549020563365</v>
      </c>
      <c r="BT47" s="16">
        <v>-502.27806412227045</v>
      </c>
      <c r="BU47" s="47">
        <v>0.36749999999999999</v>
      </c>
      <c r="BV47" s="16">
        <v>39.375</v>
      </c>
      <c r="BW47" s="16">
        <v>192.97750500000004</v>
      </c>
      <c r="BX47" s="16">
        <v>57.771350000000005</v>
      </c>
      <c r="BY47" s="47">
        <v>1.2650978890576621E-3</v>
      </c>
      <c r="BZ47" s="16">
        <v>0.13554620239903523</v>
      </c>
      <c r="CA47" s="16">
        <v>0.66431410669691016</v>
      </c>
      <c r="CB47" s="16">
        <v>0.19887459301499694</v>
      </c>
      <c r="CC47" s="47">
        <v>0.63543091864105339</v>
      </c>
      <c r="CD47" s="16">
        <v>68.081884140112862</v>
      </c>
      <c r="CE47" s="16">
        <v>333.67040348083947</v>
      </c>
      <c r="CF47" s="16">
        <v>99.890345582677071</v>
      </c>
      <c r="CG47" s="47">
        <v>1.7290637241933426</v>
      </c>
      <c r="CH47" s="16">
        <v>0.77807867588700419</v>
      </c>
      <c r="CI47" s="16">
        <v>2.7492113214674148</v>
      </c>
      <c r="CJ47" s="16">
        <v>0.89911313658053826</v>
      </c>
      <c r="CK47" s="47">
        <v>0.72906372419334264</v>
      </c>
      <c r="CL47" s="16">
        <v>0.4216523162172473</v>
      </c>
      <c r="CM47" s="16">
        <v>0.4216523162172473</v>
      </c>
      <c r="CN47" s="16">
        <v>0.72906372419334275</v>
      </c>
      <c r="CO47" s="47">
        <v>1.2239402868274629</v>
      </c>
      <c r="CP47" s="16">
        <v>1.2239402868274629</v>
      </c>
      <c r="CQ47" s="16">
        <v>1.2239402868274629</v>
      </c>
      <c r="CR47" s="16">
        <v>1.2239402868274631</v>
      </c>
      <c r="CU47" s="16">
        <v>-73.760908658159522</v>
      </c>
      <c r="CV47" s="47">
        <v>12.771166666666668</v>
      </c>
      <c r="CW47" s="47">
        <v>2.1947208130372284</v>
      </c>
      <c r="CX47" s="47">
        <v>4.7755810869400754</v>
      </c>
      <c r="CY47" s="47">
        <v>5.7755810869400754</v>
      </c>
      <c r="DB47" s="16">
        <v>-107.91632948494733</v>
      </c>
      <c r="DC47" s="52">
        <v>3.945752449175405</v>
      </c>
      <c r="DD47" s="47">
        <v>2.5229932581923258</v>
      </c>
      <c r="DE47" s="47">
        <v>3.5229932581923258</v>
      </c>
      <c r="DF47" s="47">
        <v>5.0622832674514679</v>
      </c>
      <c r="DI47" s="16">
        <v>-68.218890293287131</v>
      </c>
      <c r="DJ47" s="47">
        <v>30</v>
      </c>
      <c r="DK47" s="16">
        <v>22.785</v>
      </c>
      <c r="DL47" s="47">
        <v>0.56834327934072182</v>
      </c>
      <c r="DM47" s="16">
        <v>0.43165672065927824</v>
      </c>
      <c r="DN47" s="47">
        <v>-38.771747822271742</v>
      </c>
      <c r="DO47" s="16">
        <v>-29.44714247101539</v>
      </c>
      <c r="DP47" s="47">
        <v>1.1631524346681523</v>
      </c>
      <c r="DQ47" s="16">
        <v>3.6057725474712723</v>
      </c>
      <c r="DR47" s="47">
        <v>-0.22624071172857904</v>
      </c>
      <c r="DS47" s="16">
        <v>-0.22624071172857907</v>
      </c>
      <c r="DV47" s="16">
        <v>-51.651385221036691</v>
      </c>
      <c r="DW47" s="47">
        <v>1.7293990587400678</v>
      </c>
      <c r="DX47" s="47">
        <v>0.61327715884881995</v>
      </c>
      <c r="DY47" s="47">
        <v>0.38703644712024088</v>
      </c>
      <c r="DZ47" s="47">
        <v>1</v>
      </c>
    </row>
    <row r="48" spans="1:130" x14ac:dyDescent="0.35">
      <c r="A48" s="13">
        <v>44287</v>
      </c>
      <c r="B48" s="47">
        <v>-81.032158858141159</v>
      </c>
      <c r="C48" s="47">
        <v>30.915999999999997</v>
      </c>
      <c r="D48" s="16">
        <v>7.1766000000000005</v>
      </c>
      <c r="E48" s="16">
        <v>35.792099999999998</v>
      </c>
      <c r="F48" s="47">
        <v>0.41843575192157506</v>
      </c>
      <c r="G48" s="16">
        <v>9.7132423898317263E-2</v>
      </c>
      <c r="H48" s="16">
        <v>0.48443182418010766</v>
      </c>
      <c r="I48" s="47">
        <v>-33.906752321634812</v>
      </c>
      <c r="J48" s="16">
        <v>-7.8708500036047511</v>
      </c>
      <c r="K48" s="16">
        <v>-39.254556532901589</v>
      </c>
      <c r="L48" s="47">
        <v>1.2941508519707945</v>
      </c>
      <c r="M48" s="16">
        <v>1.1844770509563207</v>
      </c>
      <c r="N48" s="16">
        <v>1.1844770509563203</v>
      </c>
      <c r="O48" s="47">
        <v>9.6738010144741149E-2</v>
      </c>
      <c r="P48" s="16">
        <v>9.6738010144741329E-2</v>
      </c>
      <c r="Q48" s="16">
        <v>9.6738010144740927E-2</v>
      </c>
      <c r="R48" s="47">
        <v>1.6322602253966068</v>
      </c>
      <c r="S48" s="16">
        <v>1.6322602253966068</v>
      </c>
      <c r="T48" s="16">
        <v>1.6322602253966059</v>
      </c>
      <c r="V48" s="16">
        <v>-129.52032484740528</v>
      </c>
      <c r="W48" s="47">
        <v>86.356333333333339</v>
      </c>
      <c r="X48" s="16">
        <v>61.640999999999998</v>
      </c>
      <c r="Y48" s="16">
        <v>44.765999999999998</v>
      </c>
      <c r="Z48" s="47">
        <v>0.4479914921579139</v>
      </c>
      <c r="AA48" s="16">
        <v>0.31977554514171092</v>
      </c>
      <c r="AB48" s="16">
        <v>0.23223296270037525</v>
      </c>
      <c r="AC48" s="47">
        <v>-58.024003593166825</v>
      </c>
      <c r="AD48" s="16">
        <v>-41.417432485010508</v>
      </c>
      <c r="AE48" s="16">
        <v>-30.078888769227955</v>
      </c>
      <c r="AF48" s="47">
        <v>0.7928581679776836</v>
      </c>
      <c r="AG48" s="16">
        <v>0.72566679781008347</v>
      </c>
      <c r="AH48" s="16">
        <v>0.72566679781008347</v>
      </c>
      <c r="AI48" s="47">
        <v>-0.48828636401613401</v>
      </c>
      <c r="AJ48" s="16">
        <v>-0.48828636401613379</v>
      </c>
      <c r="AK48" s="16">
        <v>-0.48828636401613379</v>
      </c>
      <c r="AM48" s="16">
        <v>-305.31151214701151</v>
      </c>
      <c r="AN48" s="47">
        <v>47.907000000000004</v>
      </c>
      <c r="AO48" s="16">
        <v>1.9961666666666666</v>
      </c>
      <c r="AP48" s="16">
        <v>6.1020000000000003</v>
      </c>
      <c r="AQ48" s="16">
        <v>67.002749999999992</v>
      </c>
      <c r="AR48" s="16">
        <v>76.132166666666663</v>
      </c>
      <c r="AS48" s="47">
        <v>0.24056934795899537</v>
      </c>
      <c r="AT48" s="16">
        <v>1.0023932064572635E-2</v>
      </c>
      <c r="AU48" s="16">
        <v>3.0641746743603017E-2</v>
      </c>
      <c r="AV48" s="16">
        <v>0.33646038948294765</v>
      </c>
      <c r="AW48" s="16">
        <v>0.38230458374988124</v>
      </c>
      <c r="AX48" s="47">
        <v>-73.448591401581453</v>
      </c>
      <c r="AY48" s="16">
        <v>-3.0604218562935861</v>
      </c>
      <c r="AZ48" s="16">
        <v>-9.3552780331152032</v>
      </c>
      <c r="BA48" s="16">
        <v>-102.72523029061119</v>
      </c>
      <c r="BB48" s="16">
        <v>-116.72199056541005</v>
      </c>
      <c r="BC48" s="47">
        <v>1.6558014217903017</v>
      </c>
      <c r="BD48" s="16">
        <v>1.8091163682523661</v>
      </c>
      <c r="BE48" s="16">
        <v>1.6558014217903017</v>
      </c>
      <c r="BF48" s="16">
        <v>1.4871549806820297</v>
      </c>
      <c r="BG48" s="16">
        <v>1.4411604967434104</v>
      </c>
      <c r="BH48" s="47">
        <v>0.5331494646206496</v>
      </c>
      <c r="BI48" s="16">
        <v>0.53314946462064927</v>
      </c>
      <c r="BJ48" s="16">
        <v>0.5331494646206496</v>
      </c>
      <c r="BK48" s="16">
        <v>0.53314946462064916</v>
      </c>
      <c r="BL48" s="16">
        <v>0.53314946462064949</v>
      </c>
      <c r="BM48" s="47">
        <v>2.2817654421935485</v>
      </c>
      <c r="BN48" s="16">
        <v>2.2817654421935485</v>
      </c>
      <c r="BO48" s="16">
        <v>2.2817654421935485</v>
      </c>
      <c r="BP48" s="16">
        <v>2.2817654421935485</v>
      </c>
      <c r="BQ48" s="16">
        <v>2.2817654421935494</v>
      </c>
      <c r="BT48" s="16">
        <v>-532.37566512719718</v>
      </c>
      <c r="BU48" s="47">
        <v>0.39690000000000003</v>
      </c>
      <c r="BV48" s="16">
        <v>40.25</v>
      </c>
      <c r="BW48" s="16">
        <v>191.76381000000003</v>
      </c>
      <c r="BX48" s="16">
        <v>55.549374999999998</v>
      </c>
      <c r="BY48" s="47">
        <v>1.3783160259867265E-3</v>
      </c>
      <c r="BZ48" s="16">
        <v>0.13977631656831882</v>
      </c>
      <c r="CA48" s="16">
        <v>0.66593885746352655</v>
      </c>
      <c r="CB48" s="16">
        <v>0.19290650994216782</v>
      </c>
      <c r="CC48" s="47">
        <v>0.73378191109015878</v>
      </c>
      <c r="CD48" s="16">
        <v>74.413509502088402</v>
      </c>
      <c r="CE48" s="16">
        <v>354.52964217619069</v>
      </c>
      <c r="CF48" s="16">
        <v>102.69873153782787</v>
      </c>
      <c r="CG48" s="47">
        <v>1.9966854723541736</v>
      </c>
      <c r="CH48" s="16">
        <v>0.85044010859529595</v>
      </c>
      <c r="CI48" s="16">
        <v>2.9210768947403642</v>
      </c>
      <c r="CJ48" s="16">
        <v>0.92439142238619132</v>
      </c>
      <c r="CK48" s="47">
        <v>0.84878284477238286</v>
      </c>
      <c r="CL48" s="16">
        <v>0.45910359195099654</v>
      </c>
      <c r="CM48" s="16">
        <v>0.45910359195099654</v>
      </c>
      <c r="CN48" s="16">
        <v>0.84878284477238264</v>
      </c>
      <c r="CO48" s="47">
        <v>1.1823031355494125</v>
      </c>
      <c r="CP48" s="16">
        <v>1.1823031355494122</v>
      </c>
      <c r="CQ48" s="16">
        <v>1.1823031355494122</v>
      </c>
      <c r="CR48" s="16">
        <v>1.1823031355494125</v>
      </c>
      <c r="CU48" s="16">
        <v>-76.265244152726524</v>
      </c>
      <c r="CV48" s="47">
        <v>12.771166666666668</v>
      </c>
      <c r="CW48" s="47">
        <v>2.2692361265378587</v>
      </c>
      <c r="CX48" s="47">
        <v>4.9716740172048919</v>
      </c>
      <c r="CY48" s="47">
        <v>5.9716740172048919</v>
      </c>
      <c r="DB48" s="16">
        <v>-107.96067353716008</v>
      </c>
      <c r="DC48" s="52">
        <v>3.9473738039181017</v>
      </c>
      <c r="DD48" s="47">
        <v>2.3452320372187305</v>
      </c>
      <c r="DE48" s="47">
        <v>3.3452320372187305</v>
      </c>
      <c r="DF48" s="47">
        <v>4.9786632254625491</v>
      </c>
      <c r="DI48" s="16">
        <v>-74.057599700831645</v>
      </c>
      <c r="DJ48" s="47">
        <v>30.666666666666668</v>
      </c>
      <c r="DK48" s="16">
        <v>23.438333333333333</v>
      </c>
      <c r="DL48" s="47">
        <v>0.56679912515787201</v>
      </c>
      <c r="DM48" s="16">
        <v>0.43320087484212794</v>
      </c>
      <c r="DN48" s="47">
        <v>-41.975782721723263</v>
      </c>
      <c r="DO48" s="16">
        <v>-32.081816979108382</v>
      </c>
      <c r="DP48" s="47">
        <v>1.2592734816516979</v>
      </c>
      <c r="DQ48" s="16">
        <v>3.9283857525438837</v>
      </c>
      <c r="DR48" s="47">
        <v>-0.26942001606092542</v>
      </c>
      <c r="DS48" s="16">
        <v>-0.26942001606092536</v>
      </c>
      <c r="DV48" s="16">
        <v>-51.739901327965995</v>
      </c>
      <c r="DW48" s="47">
        <v>1.7323627676774329</v>
      </c>
      <c r="DX48" s="47">
        <v>0.65669688447979624</v>
      </c>
      <c r="DY48" s="47">
        <v>0.38727686841887088</v>
      </c>
      <c r="DZ48" s="47">
        <v>1</v>
      </c>
    </row>
    <row r="49" spans="1:130" x14ac:dyDescent="0.35">
      <c r="A49" s="13">
        <v>44317</v>
      </c>
      <c r="B49" s="47">
        <v>-80.184767101962464</v>
      </c>
      <c r="C49" s="47">
        <v>32.75</v>
      </c>
      <c r="D49" s="16">
        <v>8.0404499999999981</v>
      </c>
      <c r="E49" s="16">
        <v>38.111958333333327</v>
      </c>
      <c r="F49" s="47">
        <v>0.41506971322907449</v>
      </c>
      <c r="G49" s="16">
        <v>0.10190373361015911</v>
      </c>
      <c r="H49" s="16">
        <v>0.48302655316076637</v>
      </c>
      <c r="I49" s="47">
        <v>-33.282268286351687</v>
      </c>
      <c r="J49" s="16">
        <v>-8.1711271463510329</v>
      </c>
      <c r="K49" s="16">
        <v>-38.731371669259744</v>
      </c>
      <c r="L49" s="47">
        <v>1.2703155834485378</v>
      </c>
      <c r="M49" s="16">
        <v>1.229665484778184</v>
      </c>
      <c r="N49" s="16">
        <v>1.1686903367726544</v>
      </c>
      <c r="O49" s="47">
        <v>1.6252466758830231E-2</v>
      </c>
      <c r="P49" s="16">
        <v>1.6252466758829822E-2</v>
      </c>
      <c r="Q49" s="16">
        <v>1.6252466758830023E-2</v>
      </c>
      <c r="R49" s="47">
        <v>1.5065537432410077</v>
      </c>
      <c r="S49" s="16">
        <v>1.5065537432410072</v>
      </c>
      <c r="T49" s="16">
        <v>1.5065537432410079</v>
      </c>
      <c r="V49" s="16">
        <v>-140.44723046506991</v>
      </c>
      <c r="W49" s="47">
        <v>91.479166666666671</v>
      </c>
      <c r="X49" s="16">
        <v>69.060749999999999</v>
      </c>
      <c r="Y49" s="16">
        <v>47.66749999999999</v>
      </c>
      <c r="Z49" s="47">
        <v>0.43936555253995518</v>
      </c>
      <c r="AA49" s="16">
        <v>0.33169207468994261</v>
      </c>
      <c r="AB49" s="16">
        <v>0.22894237277010221</v>
      </c>
      <c r="AC49" s="47">
        <v>-61.707675015991867</v>
      </c>
      <c r="AD49" s="16">
        <v>-46.585233257415553</v>
      </c>
      <c r="AE49" s="16">
        <v>-32.154322191662487</v>
      </c>
      <c r="AF49" s="47">
        <v>0.84319300864484448</v>
      </c>
      <c r="AG49" s="16">
        <v>0.81621083236820946</v>
      </c>
      <c r="AH49" s="16">
        <v>0.77573756795325655</v>
      </c>
      <c r="AI49" s="47">
        <v>-0.48246010958862667</v>
      </c>
      <c r="AJ49" s="16">
        <v>-0.48246010958862662</v>
      </c>
      <c r="AK49" s="16">
        <v>-0.48246010958862728</v>
      </c>
      <c r="AM49" s="16">
        <v>-297.77584875081988</v>
      </c>
      <c r="AN49" s="47">
        <v>53.673583333333333</v>
      </c>
      <c r="AO49" s="16">
        <v>2.1145833333333335</v>
      </c>
      <c r="AP49" s="16">
        <v>6.4974999999999987</v>
      </c>
      <c r="AQ49" s="16">
        <v>68.384249999999994</v>
      </c>
      <c r="AR49" s="16">
        <v>78.561916666666662</v>
      </c>
      <c r="AS49" s="47">
        <v>0.25652685099702005</v>
      </c>
      <c r="AT49" s="16">
        <v>1.0106413061747298E-2</v>
      </c>
      <c r="AU49" s="16">
        <v>3.1054070006874348E-2</v>
      </c>
      <c r="AV49" s="16">
        <v>0.3268348267591531</v>
      </c>
      <c r="AW49" s="16">
        <v>0.37547783917520516</v>
      </c>
      <c r="AX49" s="47">
        <v>-76.387500783012754</v>
      </c>
      <c r="AY49" s="16">
        <v>-3.0094457272881741</v>
      </c>
      <c r="AZ49" s="16">
        <v>-9.2471520534643883</v>
      </c>
      <c r="BA49" s="16">
        <v>-97.323517939533986</v>
      </c>
      <c r="BB49" s="16">
        <v>-111.80823224752056</v>
      </c>
      <c r="BC49" s="47">
        <v>1.7220552496640109</v>
      </c>
      <c r="BD49" s="16">
        <v>1.7789826959338959</v>
      </c>
      <c r="BE49" s="16">
        <v>1.6366640802591839</v>
      </c>
      <c r="BF49" s="16">
        <v>1.4089542951796452</v>
      </c>
      <c r="BG49" s="16">
        <v>1.3804905720447029</v>
      </c>
      <c r="BH49" s="47">
        <v>0.42318615674711652</v>
      </c>
      <c r="BI49" s="16">
        <v>0.42318615674711674</v>
      </c>
      <c r="BJ49" s="16">
        <v>0.42318615674711652</v>
      </c>
      <c r="BK49" s="16">
        <v>0.4231861567471164</v>
      </c>
      <c r="BL49" s="16">
        <v>0.42318615674711646</v>
      </c>
      <c r="BM49" s="47">
        <v>2.1098167058963471</v>
      </c>
      <c r="BN49" s="16">
        <v>2.1098167058963471</v>
      </c>
      <c r="BO49" s="16">
        <v>2.1098167058963471</v>
      </c>
      <c r="BP49" s="16">
        <v>2.1098167058963466</v>
      </c>
      <c r="BQ49" s="16">
        <v>2.1098167058963471</v>
      </c>
      <c r="BT49" s="16">
        <v>-536.80358735580546</v>
      </c>
      <c r="BU49" s="47">
        <v>0.44467499999999999</v>
      </c>
      <c r="BV49" s="16">
        <v>43.75</v>
      </c>
      <c r="BW49" s="16">
        <v>197.83228500000004</v>
      </c>
      <c r="BX49" s="16">
        <v>57.771350000000005</v>
      </c>
      <c r="BY49" s="47">
        <v>1.4832471870838764E-3</v>
      </c>
      <c r="BZ49" s="16">
        <v>0.14593144304249078</v>
      </c>
      <c r="CA49" s="16">
        <v>0.65988459041013281</v>
      </c>
      <c r="CB49" s="16">
        <v>0.19270071936029259</v>
      </c>
      <c r="CC49" s="47">
        <v>0.79621241096203244</v>
      </c>
      <c r="CD49" s="16">
        <v>78.336522133218452</v>
      </c>
      <c r="CE49" s="16">
        <v>354.22841537297563</v>
      </c>
      <c r="CF49" s="16">
        <v>103.44243743864938</v>
      </c>
      <c r="CG49" s="47">
        <v>2.1665643835701562</v>
      </c>
      <c r="CH49" s="16">
        <v>0.89527453866535367</v>
      </c>
      <c r="CI49" s="16">
        <v>2.9185949960490536</v>
      </c>
      <c r="CJ49" s="16">
        <v>0.93108552021196789</v>
      </c>
      <c r="CK49" s="47">
        <v>0.79054907733070767</v>
      </c>
      <c r="CL49" s="16">
        <v>0.44151209667440799</v>
      </c>
      <c r="CM49" s="16">
        <v>0.44151209667440816</v>
      </c>
      <c r="CN49" s="16">
        <v>0.79054907733070745</v>
      </c>
      <c r="CO49" s="47">
        <v>1.2389006604043544</v>
      </c>
      <c r="CP49" s="16">
        <v>1.238900660404354</v>
      </c>
      <c r="CQ49" s="16">
        <v>1.2389006604043544</v>
      </c>
      <c r="CR49" s="16">
        <v>1.238900660404354</v>
      </c>
      <c r="CU49" s="16">
        <v>-80.498758355549256</v>
      </c>
      <c r="CV49" s="47">
        <v>12.435083333333333</v>
      </c>
      <c r="CW49" s="47">
        <v>2.3952023314321624</v>
      </c>
      <c r="CX49" s="47">
        <v>5.47351981468152</v>
      </c>
      <c r="CY49" s="47">
        <v>6.47351981468152</v>
      </c>
      <c r="DB49" s="16">
        <v>-108.02494489127299</v>
      </c>
      <c r="DC49" s="52">
        <v>3.9497237620209509</v>
      </c>
      <c r="DD49" s="47">
        <v>2.1597790096167606</v>
      </c>
      <c r="DE49" s="47">
        <v>3.1597790096167606</v>
      </c>
      <c r="DF49" s="47">
        <v>4.6842463368723051</v>
      </c>
      <c r="DI49" s="16">
        <v>-82.282367470607824</v>
      </c>
      <c r="DJ49" s="47">
        <v>31.333333333333332</v>
      </c>
      <c r="DK49" s="16">
        <v>24.173333333333332</v>
      </c>
      <c r="DL49" s="47">
        <v>0.56449675714628877</v>
      </c>
      <c r="DM49" s="16">
        <v>0.43550324285371128</v>
      </c>
      <c r="DN49" s="47">
        <v>-46.448129607477398</v>
      </c>
      <c r="DO49" s="16">
        <v>-35.834237863130433</v>
      </c>
      <c r="DP49" s="47">
        <v>1.3934438882243219</v>
      </c>
      <c r="DQ49" s="16">
        <v>4.3878658607914813</v>
      </c>
      <c r="DR49" s="47">
        <v>-0.32541237724480571</v>
      </c>
      <c r="DS49" s="16">
        <v>-0.32541237724480565</v>
      </c>
      <c r="DV49" s="16">
        <v>-53.673575125515995</v>
      </c>
      <c r="DW49" s="47">
        <v>1.7971063100061158</v>
      </c>
      <c r="DX49" s="47">
        <v>0.64709231920170973</v>
      </c>
      <c r="DY49" s="47">
        <v>0.32167994195690408</v>
      </c>
      <c r="DZ49" s="47">
        <v>1</v>
      </c>
    </row>
    <row r="50" spans="1:130" x14ac:dyDescent="0.35">
      <c r="A50" s="13">
        <v>44348</v>
      </c>
      <c r="B50" s="47">
        <v>-81.03331726944208</v>
      </c>
      <c r="C50" s="47">
        <v>33.273999999999994</v>
      </c>
      <c r="D50" s="16">
        <v>7.8411</v>
      </c>
      <c r="E50" s="16">
        <v>39.106183333333327</v>
      </c>
      <c r="F50" s="47">
        <v>0.41477770757843357</v>
      </c>
      <c r="G50" s="16">
        <v>9.7743387716933819E-2</v>
      </c>
      <c r="H50" s="16">
        <v>0.48747890470463262</v>
      </c>
      <c r="I50" s="47">
        <v>-33.610813574495076</v>
      </c>
      <c r="J50" s="16">
        <v>-7.9204709478563862</v>
      </c>
      <c r="K50" s="16">
        <v>-39.502032747090617</v>
      </c>
      <c r="L50" s="47">
        <v>1.2828554799425602</v>
      </c>
      <c r="M50" s="16">
        <v>1.1919444616789145</v>
      </c>
      <c r="N50" s="16">
        <v>1.1919444616789141</v>
      </c>
      <c r="O50" s="47">
        <v>1.0122425151622204E-2</v>
      </c>
      <c r="P50" s="16">
        <v>1.012242515162255E-2</v>
      </c>
      <c r="Q50" s="16">
        <v>1.0122425151622174E-2</v>
      </c>
      <c r="R50" s="47">
        <v>1.444933685151186</v>
      </c>
      <c r="S50" s="16">
        <v>1.4449336851511865</v>
      </c>
      <c r="T50" s="16">
        <v>1.444933685151186</v>
      </c>
      <c r="V50" s="16">
        <v>-146.24890433773362</v>
      </c>
      <c r="W50" s="47">
        <v>92.94283333333334</v>
      </c>
      <c r="X50" s="16">
        <v>67.348499999999987</v>
      </c>
      <c r="Y50" s="16">
        <v>48.910999999999994</v>
      </c>
      <c r="Z50" s="47">
        <v>0.44427245075341737</v>
      </c>
      <c r="AA50" s="16">
        <v>0.32192996572695964</v>
      </c>
      <c r="AB50" s="16">
        <v>0.2337975835196229</v>
      </c>
      <c r="AC50" s="47">
        <v>-64.974359150127015</v>
      </c>
      <c r="AD50" s="16">
        <v>-47.081904761051987</v>
      </c>
      <c r="AE50" s="16">
        <v>-34.192640426554618</v>
      </c>
      <c r="AF50" s="47">
        <v>0.88783000432876802</v>
      </c>
      <c r="AG50" s="16">
        <v>0.82491291740783157</v>
      </c>
      <c r="AH50" s="16">
        <v>0.82491291740783157</v>
      </c>
      <c r="AI50" s="47">
        <v>-0.43045402138686056</v>
      </c>
      <c r="AJ50" s="16">
        <v>-0.43045402138686067</v>
      </c>
      <c r="AK50" s="16">
        <v>-0.43045402138686067</v>
      </c>
      <c r="AM50" s="16">
        <v>-297.63068630197768</v>
      </c>
      <c r="AN50" s="47">
        <v>52.342833333333324</v>
      </c>
      <c r="AO50" s="16">
        <v>2.1484166666666669</v>
      </c>
      <c r="AP50" s="16">
        <v>6.6669999999999989</v>
      </c>
      <c r="AQ50" s="16">
        <v>69.075000000000003</v>
      </c>
      <c r="AR50" s="16">
        <v>78.561916666666662</v>
      </c>
      <c r="AS50" s="47">
        <v>0.2506898706946441</v>
      </c>
      <c r="AT50" s="16">
        <v>1.0289590036806408E-2</v>
      </c>
      <c r="AU50" s="16">
        <v>3.1930815767606369E-2</v>
      </c>
      <c r="AV50" s="16">
        <v>0.33082662354093451</v>
      </c>
      <c r="AW50" s="16">
        <v>0.37626309996000862</v>
      </c>
      <c r="AX50" s="47">
        <v>-74.612998263800961</v>
      </c>
      <c r="AY50" s="16">
        <v>-3.0624977444206829</v>
      </c>
      <c r="AZ50" s="16">
        <v>-9.5035906110946939</v>
      </c>
      <c r="BA50" s="16">
        <v>-98.464155011454338</v>
      </c>
      <c r="BB50" s="16">
        <v>-111.98744467120699</v>
      </c>
      <c r="BC50" s="47">
        <v>1.6820514355919811</v>
      </c>
      <c r="BD50" s="16">
        <v>1.8103434942388272</v>
      </c>
      <c r="BE50" s="16">
        <v>1.6820514355919811</v>
      </c>
      <c r="BF50" s="16">
        <v>1.4254673182982893</v>
      </c>
      <c r="BG50" s="16">
        <v>1.3827032987493402</v>
      </c>
      <c r="BH50" s="47">
        <v>0.42546731829828915</v>
      </c>
      <c r="BI50" s="16">
        <v>0.42546731829828915</v>
      </c>
      <c r="BJ50" s="16">
        <v>0.42546731829828915</v>
      </c>
      <c r="BK50" s="16">
        <v>0.42546731829828932</v>
      </c>
      <c r="BL50" s="16">
        <v>0.42546731829828888</v>
      </c>
      <c r="BM50" s="47">
        <v>2.0390654578153318</v>
      </c>
      <c r="BN50" s="16">
        <v>2.0390654578153318</v>
      </c>
      <c r="BO50" s="16">
        <v>2.0390654578153318</v>
      </c>
      <c r="BP50" s="16">
        <v>2.0390654578153322</v>
      </c>
      <c r="BQ50" s="16">
        <v>2.0390654578153313</v>
      </c>
      <c r="BT50" s="16">
        <v>-521.72493571404243</v>
      </c>
      <c r="BU50" s="47">
        <v>0.43365000000000004</v>
      </c>
      <c r="BV50" s="16">
        <v>45.5</v>
      </c>
      <c r="BW50" s="16">
        <v>203.90076000000002</v>
      </c>
      <c r="BX50" s="16">
        <v>61.104312499999999</v>
      </c>
      <c r="BY50" s="47">
        <v>1.3946477830531383E-3</v>
      </c>
      <c r="BZ50" s="16">
        <v>0.14633108296764161</v>
      </c>
      <c r="CA50" s="16">
        <v>0.65575865997198213</v>
      </c>
      <c r="CB50" s="16">
        <v>0.19651560927732309</v>
      </c>
      <c r="CC50" s="47">
        <v>0.72762252495713042</v>
      </c>
      <c r="CD50" s="16">
        <v>76.344574854259022</v>
      </c>
      <c r="CE50" s="16">
        <v>342.125644717809</v>
      </c>
      <c r="CF50" s="16">
        <v>102.52709361701727</v>
      </c>
      <c r="CG50" s="47">
        <v>1.9799252379785861</v>
      </c>
      <c r="CH50" s="16">
        <v>0.87250942690581745</v>
      </c>
      <c r="CI50" s="16">
        <v>2.8188766100034108</v>
      </c>
      <c r="CJ50" s="16">
        <v>0.92284650922730704</v>
      </c>
      <c r="CK50" s="47">
        <v>0.67790274404964934</v>
      </c>
      <c r="CL50" s="16">
        <v>0.40401790059268766</v>
      </c>
      <c r="CM50" s="16">
        <v>0.40401790059268783</v>
      </c>
      <c r="CN50" s="16">
        <v>0.67790274404964901</v>
      </c>
      <c r="CO50" s="47">
        <v>1.2627078532821754</v>
      </c>
      <c r="CP50" s="16">
        <v>1.2627078532821749</v>
      </c>
      <c r="CQ50" s="16">
        <v>1.2627078532821754</v>
      </c>
      <c r="CR50" s="16">
        <v>1.2627078532821749</v>
      </c>
      <c r="CU50" s="16">
        <v>-84.228891684119517</v>
      </c>
      <c r="CV50" s="47">
        <v>12.435083333333333</v>
      </c>
      <c r="CW50" s="47">
        <v>2.5061906774347484</v>
      </c>
      <c r="CX50" s="47">
        <v>5.7734883173912115</v>
      </c>
      <c r="CY50" s="47">
        <v>6.7734883173912115</v>
      </c>
      <c r="DB50" s="16">
        <v>-108.12968574387585</v>
      </c>
      <c r="DC50" s="52">
        <v>3.9535534092824811</v>
      </c>
      <c r="DD50" s="47">
        <v>2.1130341805373867</v>
      </c>
      <c r="DE50" s="47">
        <v>3.1130341805373867</v>
      </c>
      <c r="DF50" s="47">
        <v>4.4530522622644551</v>
      </c>
      <c r="DI50" s="16">
        <v>-84.390776255934824</v>
      </c>
      <c r="DJ50" s="47">
        <v>31.333333333333332</v>
      </c>
      <c r="DK50" s="16">
        <v>24.254999999999999</v>
      </c>
      <c r="DL50" s="47">
        <v>0.5636674362126346</v>
      </c>
      <c r="DM50" s="16">
        <v>0.43633256378736546</v>
      </c>
      <c r="DN50" s="47">
        <v>-47.568332492176864</v>
      </c>
      <c r="DO50" s="16">
        <v>-36.822443763757967</v>
      </c>
      <c r="DP50" s="47">
        <v>1.4270499747653058</v>
      </c>
      <c r="DQ50" s="16">
        <v>4.5088706649499555</v>
      </c>
      <c r="DR50" s="47">
        <v>-0.34129847123637463</v>
      </c>
      <c r="DS50" s="16">
        <v>-0.34129847123637452</v>
      </c>
      <c r="DV50" s="16">
        <v>-55.837718067534389</v>
      </c>
      <c r="DW50" s="47">
        <v>1.8695664531540535</v>
      </c>
      <c r="DX50" s="47">
        <v>0.5886036011126855</v>
      </c>
      <c r="DY50" s="47">
        <v>0.24730512987631098</v>
      </c>
      <c r="DZ50" s="47">
        <v>1</v>
      </c>
    </row>
    <row r="51" spans="1:130" x14ac:dyDescent="0.35">
      <c r="A51" s="13">
        <v>44378</v>
      </c>
      <c r="B51" s="47">
        <v>-86.210861777719487</v>
      </c>
      <c r="C51" s="47">
        <v>32.488</v>
      </c>
      <c r="D51" s="16">
        <v>7.3094999999999999</v>
      </c>
      <c r="E51" s="16">
        <v>39.768999999999998</v>
      </c>
      <c r="F51" s="47">
        <v>0.40831254359560876</v>
      </c>
      <c r="G51" s="16">
        <v>9.1866551877988867E-2</v>
      </c>
      <c r="H51" s="16">
        <v>0.49982090452640249</v>
      </c>
      <c r="I51" s="47">
        <v>-35.200976258030089</v>
      </c>
      <c r="J51" s="16">
        <v>-7.9198946059489943</v>
      </c>
      <c r="K51" s="16">
        <v>-43.089990913740415</v>
      </c>
      <c r="L51" s="47">
        <v>1.3435487121385532</v>
      </c>
      <c r="M51" s="16">
        <v>1.1918577285100067</v>
      </c>
      <c r="N51" s="16">
        <v>1.3002084311018256</v>
      </c>
      <c r="O51" s="47">
        <v>8.350702591818808E-2</v>
      </c>
      <c r="P51" s="16">
        <v>8.350702591818783E-2</v>
      </c>
      <c r="Q51" s="16">
        <v>8.3507025918188038E-2</v>
      </c>
      <c r="R51" s="47">
        <v>1.4691477375311643</v>
      </c>
      <c r="S51" s="16">
        <v>1.4691477375311646</v>
      </c>
      <c r="T51" s="16">
        <v>1.4691477375311641</v>
      </c>
      <c r="V51" s="16">
        <v>-149.91296446741038</v>
      </c>
      <c r="W51" s="47">
        <v>90.747333333333344</v>
      </c>
      <c r="X51" s="16">
        <v>62.782499999999999</v>
      </c>
      <c r="Y51" s="16">
        <v>49.74</v>
      </c>
      <c r="Z51" s="47">
        <v>0.44643778097914188</v>
      </c>
      <c r="AA51" s="16">
        <v>0.30886284979161521</v>
      </c>
      <c r="AB51" s="16">
        <v>0.2446993692292429</v>
      </c>
      <c r="AC51" s="47">
        <v>-66.926811196835629</v>
      </c>
      <c r="AD51" s="16">
        <v>-46.302545426113518</v>
      </c>
      <c r="AE51" s="16">
        <v>-36.683607844461221</v>
      </c>
      <c r="AF51" s="47">
        <v>0.91450892093148206</v>
      </c>
      <c r="AG51" s="16">
        <v>0.81125791372954037</v>
      </c>
      <c r="AH51" s="16">
        <v>0.88500863315949874</v>
      </c>
      <c r="AI51" s="47">
        <v>-0.35591897642396508</v>
      </c>
      <c r="AJ51" s="16">
        <v>-0.35591897642396553</v>
      </c>
      <c r="AK51" s="16">
        <v>-0.35591897642396514</v>
      </c>
      <c r="AM51" s="16">
        <v>-312.04320869988607</v>
      </c>
      <c r="AN51" s="47">
        <v>48.794166666666662</v>
      </c>
      <c r="AO51" s="16">
        <v>2.0976666666666666</v>
      </c>
      <c r="AP51" s="16">
        <v>6.78</v>
      </c>
      <c r="AQ51" s="16">
        <v>69.075000000000003</v>
      </c>
      <c r="AR51" s="16">
        <v>82.611499999999992</v>
      </c>
      <c r="AS51" s="47">
        <v>0.23306531863232891</v>
      </c>
      <c r="AT51" s="16">
        <v>1.0019504040122596E-2</v>
      </c>
      <c r="AU51" s="16">
        <v>3.2384667436213828E-2</v>
      </c>
      <c r="AV51" s="16">
        <v>0.32993671138001035</v>
      </c>
      <c r="AW51" s="16">
        <v>0.3945937985113242</v>
      </c>
      <c r="AX51" s="47">
        <v>-72.726449862693258</v>
      </c>
      <c r="AY51" s="16">
        <v>-3.126518190261327</v>
      </c>
      <c r="AZ51" s="16">
        <v>-10.105415539474876</v>
      </c>
      <c r="BA51" s="16">
        <v>-102.95451008690664</v>
      </c>
      <c r="BB51" s="16">
        <v>-123.13031502054993</v>
      </c>
      <c r="BC51" s="47">
        <v>1.6395216951950387</v>
      </c>
      <c r="BD51" s="16">
        <v>1.8481880927653163</v>
      </c>
      <c r="BE51" s="16">
        <v>1.7885691220309514</v>
      </c>
      <c r="BF51" s="16">
        <v>1.4904742683591261</v>
      </c>
      <c r="BG51" s="16">
        <v>1.5202837537263085</v>
      </c>
      <c r="BH51" s="47">
        <v>0.49047426835912594</v>
      </c>
      <c r="BI51" s="16">
        <v>0.49047426835912605</v>
      </c>
      <c r="BJ51" s="16">
        <v>0.49047426835912622</v>
      </c>
      <c r="BK51" s="16">
        <v>0.49047426835912611</v>
      </c>
      <c r="BL51" s="16">
        <v>0.490474268359126</v>
      </c>
      <c r="BM51" s="47">
        <v>2.0209623443397651</v>
      </c>
      <c r="BN51" s="16">
        <v>2.0209623443397646</v>
      </c>
      <c r="BO51" s="16">
        <v>2.0209623443397646</v>
      </c>
      <c r="BP51" s="16">
        <v>2.0209623443397646</v>
      </c>
      <c r="BQ51" s="16">
        <v>2.0209623443397646</v>
      </c>
      <c r="BT51" s="16">
        <v>-516.21296905304132</v>
      </c>
      <c r="BU51" s="47">
        <v>0.40425000000000005</v>
      </c>
      <c r="BV51" s="16">
        <v>46.375</v>
      </c>
      <c r="BW51" s="16">
        <v>203.90076000000002</v>
      </c>
      <c r="BX51" s="16">
        <v>61.104312499999999</v>
      </c>
      <c r="BY51" s="47">
        <v>1.2965693616618585E-3</v>
      </c>
      <c r="BZ51" s="16">
        <v>0.14874064105644694</v>
      </c>
      <c r="CA51" s="16">
        <v>0.6539801564268839</v>
      </c>
      <c r="CB51" s="16">
        <v>0.1959826331550073</v>
      </c>
      <c r="CC51" s="47">
        <v>0.66930591976667453</v>
      </c>
      <c r="CD51" s="16">
        <v>76.781847938601175</v>
      </c>
      <c r="CE51" s="16">
        <v>337.59303825089415</v>
      </c>
      <c r="CF51" s="16">
        <v>101.16877694377933</v>
      </c>
      <c r="CG51" s="47">
        <v>1.8212405980045565</v>
      </c>
      <c r="CH51" s="16">
        <v>0.87750683358401349</v>
      </c>
      <c r="CI51" s="16">
        <v>2.7815310951342314</v>
      </c>
      <c r="CJ51" s="16">
        <v>0.91062029900227803</v>
      </c>
      <c r="CK51" s="47">
        <v>0.65567327091323302</v>
      </c>
      <c r="CL51" s="16">
        <v>0.39601609957233769</v>
      </c>
      <c r="CM51" s="16">
        <v>0.39601609957233774</v>
      </c>
      <c r="CN51" s="16">
        <v>0.65567327091323269</v>
      </c>
      <c r="CO51" s="47">
        <v>1.1593780976858983</v>
      </c>
      <c r="CP51" s="16">
        <v>1.1593780976858981</v>
      </c>
      <c r="CQ51" s="16">
        <v>1.1593780976858983</v>
      </c>
      <c r="CR51" s="16">
        <v>1.1593780976858981</v>
      </c>
      <c r="CU51" s="16">
        <v>-89.545417989677659</v>
      </c>
      <c r="CV51" s="47">
        <v>13.107250000000001</v>
      </c>
      <c r="CW51" s="47">
        <v>2.6643813931964591</v>
      </c>
      <c r="CX51" s="47">
        <v>5.8317471620422019</v>
      </c>
      <c r="CY51" s="47">
        <v>6.8317471620422019</v>
      </c>
      <c r="DB51" s="16">
        <v>-108.21047102558555</v>
      </c>
      <c r="DC51" s="52">
        <v>3.9565071672974605</v>
      </c>
      <c r="DD51" s="47">
        <v>2.1907315865302102</v>
      </c>
      <c r="DE51" s="47">
        <v>3.1907315865302102</v>
      </c>
      <c r="DF51" s="47">
        <v>4.3263735068516578</v>
      </c>
      <c r="DI51" s="16">
        <v>-86.168663121819051</v>
      </c>
      <c r="DJ51" s="47">
        <v>31</v>
      </c>
      <c r="DK51" s="16">
        <v>23.60166666666667</v>
      </c>
      <c r="DL51" s="47">
        <v>0.56774823723329559</v>
      </c>
      <c r="DM51" s="16">
        <v>0.43225176276670429</v>
      </c>
      <c r="DN51" s="47">
        <v>-48.92210659216245</v>
      </c>
      <c r="DO51" s="16">
        <v>-37.246556529656587</v>
      </c>
      <c r="DP51" s="47">
        <v>1.4676631977648735</v>
      </c>
      <c r="DQ51" s="16">
        <v>4.5608028403661134</v>
      </c>
      <c r="DR51" s="47">
        <v>-0.36633963335981229</v>
      </c>
      <c r="DS51" s="16">
        <v>-0.36633963335981246</v>
      </c>
      <c r="DV51" s="16">
        <v>-57.931203271695452</v>
      </c>
      <c r="DW51" s="47">
        <v>1.9396608238290889</v>
      </c>
      <c r="DX51" s="47">
        <v>0.48995121440605499</v>
      </c>
      <c r="DY51" s="47">
        <v>0.12361158104624254</v>
      </c>
      <c r="DZ51" s="47">
        <v>1</v>
      </c>
    </row>
    <row r="52" spans="1:130" x14ac:dyDescent="0.35">
      <c r="A52" s="13">
        <v>44409</v>
      </c>
      <c r="B52" s="47">
        <v>-101.40517077530143</v>
      </c>
      <c r="C52" s="47">
        <v>33.273999999999994</v>
      </c>
      <c r="D52" s="16">
        <v>6.9107999999999992</v>
      </c>
      <c r="E52" s="16">
        <v>41.094633333333334</v>
      </c>
      <c r="F52" s="47">
        <v>0.40937785409429112</v>
      </c>
      <c r="G52" s="16">
        <v>8.5025199076601166E-2</v>
      </c>
      <c r="H52" s="16">
        <v>0.50559694682910772</v>
      </c>
      <c r="I52" s="47">
        <v>-41.513031206058024</v>
      </c>
      <c r="J52" s="16">
        <v>-8.6219948325667417</v>
      </c>
      <c r="K52" s="16">
        <v>-51.270144736676663</v>
      </c>
      <c r="L52" s="47">
        <v>1.5844668399258788</v>
      </c>
      <c r="M52" s="16">
        <v>1.2975161523802472</v>
      </c>
      <c r="N52" s="16">
        <v>1.5470384893764488</v>
      </c>
      <c r="O52" s="47">
        <v>0.24761168498100689</v>
      </c>
      <c r="P52" s="16">
        <v>0.24761168498100689</v>
      </c>
      <c r="Q52" s="16">
        <v>0.24761168498100714</v>
      </c>
      <c r="R52" s="47">
        <v>1.6781141994478643</v>
      </c>
      <c r="S52" s="16">
        <v>1.6781141994478641</v>
      </c>
      <c r="T52" s="16">
        <v>1.6781141994478643</v>
      </c>
      <c r="V52" s="16">
        <v>-151.44204415127521</v>
      </c>
      <c r="W52" s="47">
        <v>92.94283333333334</v>
      </c>
      <c r="X52" s="16">
        <v>59.358000000000004</v>
      </c>
      <c r="Y52" s="16">
        <v>51.397999999999996</v>
      </c>
      <c r="Z52" s="47">
        <v>0.45627572731966232</v>
      </c>
      <c r="AA52" s="16">
        <v>0.29140078530968516</v>
      </c>
      <c r="AB52" s="16">
        <v>0.25232348737065258</v>
      </c>
      <c r="AC52" s="47">
        <v>-69.099328841899506</v>
      </c>
      <c r="AD52" s="16">
        <v>-44.130330594585608</v>
      </c>
      <c r="AE52" s="16">
        <v>-38.212384714790097</v>
      </c>
      <c r="AF52" s="47">
        <v>0.94419488283169439</v>
      </c>
      <c r="AG52" s="16">
        <v>0.77319895916926162</v>
      </c>
      <c r="AH52" s="16">
        <v>0.92189106670181187</v>
      </c>
      <c r="AI52" s="47">
        <v>-0.34506130364866783</v>
      </c>
      <c r="AJ52" s="16">
        <v>-0.34506130364866772</v>
      </c>
      <c r="AK52" s="16">
        <v>-0.34506130364866777</v>
      </c>
      <c r="AM52" s="16">
        <v>-363.03872091976996</v>
      </c>
      <c r="AN52" s="47">
        <v>46.132666666666665</v>
      </c>
      <c r="AO52" s="16">
        <v>2.1484166666666669</v>
      </c>
      <c r="AP52" s="16">
        <v>7.0060000000000002</v>
      </c>
      <c r="AQ52" s="16">
        <v>71.838000000000008</v>
      </c>
      <c r="AR52" s="16">
        <v>85.041250000000005</v>
      </c>
      <c r="AS52" s="47">
        <v>0.2174363196171557</v>
      </c>
      <c r="AT52" s="16">
        <v>1.0126096034714902E-2</v>
      </c>
      <c r="AU52" s="16">
        <v>3.3021261620206785E-2</v>
      </c>
      <c r="AV52" s="16">
        <v>0.33859283361010784</v>
      </c>
      <c r="AW52" s="16">
        <v>0.40082348911781479</v>
      </c>
      <c r="AX52" s="47">
        <v>-78.937803355314486</v>
      </c>
      <c r="AY52" s="16">
        <v>-3.6761649523536524</v>
      </c>
      <c r="AZ52" s="16">
        <v>-11.987996581756962</v>
      </c>
      <c r="BA52" s="16">
        <v>-122.92230922641404</v>
      </c>
      <c r="BB52" s="16">
        <v>-145.51444680393081</v>
      </c>
      <c r="BC52" s="47">
        <v>1.7795484506176478</v>
      </c>
      <c r="BD52" s="16">
        <v>2.1731024348888583</v>
      </c>
      <c r="BE52" s="16">
        <v>2.1217693065056569</v>
      </c>
      <c r="BF52" s="16">
        <v>1.7795484506176482</v>
      </c>
      <c r="BG52" s="16">
        <v>1.7966594934120486</v>
      </c>
      <c r="BH52" s="47">
        <v>0.71110427944004584</v>
      </c>
      <c r="BI52" s="16">
        <v>0.71110427944004595</v>
      </c>
      <c r="BJ52" s="16">
        <v>0.71110427944004584</v>
      </c>
      <c r="BK52" s="16">
        <v>0.71110427944004628</v>
      </c>
      <c r="BL52" s="16">
        <v>0.71110427944004617</v>
      </c>
      <c r="BM52" s="47">
        <v>2.3015401527824424</v>
      </c>
      <c r="BN52" s="16">
        <v>2.3015401527824424</v>
      </c>
      <c r="BO52" s="16">
        <v>2.3015401527824424</v>
      </c>
      <c r="BP52" s="16">
        <v>2.3015401527824433</v>
      </c>
      <c r="BQ52" s="16">
        <v>2.3015401527824428</v>
      </c>
      <c r="BT52" s="16">
        <v>-514.86905100106981</v>
      </c>
      <c r="BU52" s="47">
        <v>0.38220000000000004</v>
      </c>
      <c r="BV52" s="16">
        <v>46.375</v>
      </c>
      <c r="BW52" s="16">
        <v>200.25967500000002</v>
      </c>
      <c r="BX52" s="16">
        <v>59.993324999999999</v>
      </c>
      <c r="BY52" s="47">
        <v>1.2449097782418954E-3</v>
      </c>
      <c r="BZ52" s="16">
        <v>0.15105361320242777</v>
      </c>
      <c r="CA52" s="16">
        <v>0.65228997277614875</v>
      </c>
      <c r="CB52" s="16">
        <v>0.19541150424318146</v>
      </c>
      <c r="CC52" s="47">
        <v>0.6409655161053569</v>
      </c>
      <c r="CD52" s="16">
        <v>77.772830479816662</v>
      </c>
      <c r="CE52" s="16">
        <v>335.84391926076938</v>
      </c>
      <c r="CF52" s="16">
        <v>100.61133574437837</v>
      </c>
      <c r="CG52" s="47">
        <v>1.74412385334791</v>
      </c>
      <c r="CH52" s="16">
        <v>0.88883234834076186</v>
      </c>
      <c r="CI52" s="16">
        <v>2.7671195750231266</v>
      </c>
      <c r="CJ52" s="16">
        <v>0.90560277000756861</v>
      </c>
      <c r="CK52" s="47">
        <v>0.67704216668068262</v>
      </c>
      <c r="CL52" s="16">
        <v>0.40371207124787517</v>
      </c>
      <c r="CM52" s="16">
        <v>0.40371207124787523</v>
      </c>
      <c r="CN52" s="16">
        <v>0.67704216668068251</v>
      </c>
      <c r="CO52" s="47">
        <v>1.1202962608449496</v>
      </c>
      <c r="CP52" s="16">
        <v>1.1202962608449496</v>
      </c>
      <c r="CQ52" s="16">
        <v>1.1202962608449496</v>
      </c>
      <c r="CR52" s="16">
        <v>1.1202962608449496</v>
      </c>
      <c r="CU52" s="16">
        <v>-96.520131930904199</v>
      </c>
      <c r="CV52" s="47">
        <v>15.459833333333334</v>
      </c>
      <c r="CW52" s="47">
        <v>2.871910694695885</v>
      </c>
      <c r="CX52" s="47">
        <v>5.2432841189040973</v>
      </c>
      <c r="CY52" s="47">
        <v>6.2432841189040973</v>
      </c>
      <c r="DB52" s="16">
        <v>-108.31025158787747</v>
      </c>
      <c r="DC52" s="52">
        <v>3.960155451110694</v>
      </c>
      <c r="DD52" s="47">
        <v>2.1182326386698378</v>
      </c>
      <c r="DE52" s="47">
        <v>3.1182326386698378</v>
      </c>
      <c r="DF52" s="47">
        <v>4.1942140580490772</v>
      </c>
      <c r="DI52" s="16">
        <v>-89.750549271662848</v>
      </c>
      <c r="DJ52" s="47">
        <v>32.666666666666664</v>
      </c>
      <c r="DK52" s="16">
        <v>24.091666666666669</v>
      </c>
      <c r="DL52" s="47">
        <v>0.57553956834532372</v>
      </c>
      <c r="DM52" s="16">
        <v>0.42446043165467628</v>
      </c>
      <c r="DN52" s="47">
        <v>-51.654992386568544</v>
      </c>
      <c r="DO52" s="16">
        <v>-38.095556885094304</v>
      </c>
      <c r="DP52" s="47">
        <v>1.5496497715970563</v>
      </c>
      <c r="DQ52" s="16">
        <v>4.6647620675625685</v>
      </c>
      <c r="DR52" s="47">
        <v>-0.36759904207902405</v>
      </c>
      <c r="DS52" s="16">
        <v>-0.36759904207902416</v>
      </c>
      <c r="DV52" s="16">
        <v>-61.150260195393685</v>
      </c>
      <c r="DW52" s="47">
        <v>2.047441747613628</v>
      </c>
      <c r="DX52" s="47">
        <v>0.44082243289135747</v>
      </c>
      <c r="DY52" s="47">
        <v>7.3223390812333311E-2</v>
      </c>
      <c r="DZ52" s="47">
        <v>1</v>
      </c>
    </row>
    <row r="53" spans="1:130" x14ac:dyDescent="0.35">
      <c r="A53" s="13">
        <v>44440</v>
      </c>
      <c r="B53" s="47">
        <v>-102.08200019598978</v>
      </c>
      <c r="C53" s="47">
        <v>33.797999999999995</v>
      </c>
      <c r="D53" s="16">
        <v>6.7778999999999998</v>
      </c>
      <c r="E53" s="16">
        <v>42.42026666666667</v>
      </c>
      <c r="F53" s="47">
        <v>0.40722362679400848</v>
      </c>
      <c r="G53" s="16">
        <v>8.1665217469883145E-2</v>
      </c>
      <c r="H53" s="16">
        <v>0.51111115573610832</v>
      </c>
      <c r="I53" s="47">
        <v>-41.57020235019764</v>
      </c>
      <c r="J53" s="16">
        <v>-8.3365487457661587</v>
      </c>
      <c r="K53" s="16">
        <v>-52.175249100025972</v>
      </c>
      <c r="L53" s="47">
        <v>1.5866489446640322</v>
      </c>
      <c r="M53" s="16">
        <v>1.2545596306645836</v>
      </c>
      <c r="N53" s="16">
        <v>1.5743493404418307</v>
      </c>
      <c r="O53" s="47">
        <v>0.22996042222017996</v>
      </c>
      <c r="P53" s="16">
        <v>0.22996042222018004</v>
      </c>
      <c r="Q53" s="16">
        <v>0.22996042222018023</v>
      </c>
      <c r="R53" s="47">
        <v>1.6013128711633686</v>
      </c>
      <c r="S53" s="16">
        <v>1.6013128711633686</v>
      </c>
      <c r="T53" s="16">
        <v>1.6013128711633684</v>
      </c>
      <c r="V53" s="16">
        <v>-157.98101310335082</v>
      </c>
      <c r="W53" s="47">
        <v>94.406500000000008</v>
      </c>
      <c r="X53" s="16">
        <v>58.216499999999996</v>
      </c>
      <c r="Y53" s="16">
        <v>53.056000000000004</v>
      </c>
      <c r="Z53" s="47">
        <v>0.45899921722684378</v>
      </c>
      <c r="AA53" s="16">
        <v>0.28304542515278658</v>
      </c>
      <c r="AB53" s="16">
        <v>0.25795535762036964</v>
      </c>
      <c r="AC53" s="47">
        <v>-72.513161351141775</v>
      </c>
      <c r="AD53" s="16">
        <v>-44.715803019905877</v>
      </c>
      <c r="AE53" s="16">
        <v>-40.752048732303166</v>
      </c>
      <c r="AF53" s="47">
        <v>0.99084256002471105</v>
      </c>
      <c r="AG53" s="16">
        <v>0.78345690792651568</v>
      </c>
      <c r="AH53" s="16">
        <v>0.98316160994700041</v>
      </c>
      <c r="AI53" s="47">
        <v>-0.30192227508659719</v>
      </c>
      <c r="AJ53" s="16">
        <v>-0.30192227508659725</v>
      </c>
      <c r="AK53" s="16">
        <v>-0.30192227508659675</v>
      </c>
      <c r="AM53" s="16">
        <v>-347.54881886722114</v>
      </c>
      <c r="AN53" s="47">
        <v>45.245499999999993</v>
      </c>
      <c r="AO53" s="16">
        <v>2.1822500000000002</v>
      </c>
      <c r="AP53" s="16">
        <v>7.2319999999999993</v>
      </c>
      <c r="AQ53" s="16">
        <v>73.219499999999996</v>
      </c>
      <c r="AR53" s="16">
        <v>83.421416666666673</v>
      </c>
      <c r="AS53" s="47">
        <v>0.21412852459843951</v>
      </c>
      <c r="AT53" s="16">
        <v>1.0327700496291227E-2</v>
      </c>
      <c r="AU53" s="16">
        <v>3.4226110660638395E-2</v>
      </c>
      <c r="AV53" s="16">
        <v>0.34651807377165555</v>
      </c>
      <c r="AW53" s="16">
        <v>0.39479959047297541</v>
      </c>
      <c r="AX53" s="47">
        <v>-74.420115809968365</v>
      </c>
      <c r="AY53" s="16">
        <v>-3.5893801091004298</v>
      </c>
      <c r="AZ53" s="16">
        <v>-11.89524433452368</v>
      </c>
      <c r="BA53" s="16">
        <v>-120.43194725548349</v>
      </c>
      <c r="BB53" s="16">
        <v>-137.21213135814523</v>
      </c>
      <c r="BC53" s="47">
        <v>1.6777031555882405</v>
      </c>
      <c r="BD53" s="16">
        <v>2.1218010497145396</v>
      </c>
      <c r="BE53" s="16">
        <v>2.1053529795617134</v>
      </c>
      <c r="BF53" s="16">
        <v>1.7434954361995438</v>
      </c>
      <c r="BG53" s="16">
        <v>1.6941512257410669</v>
      </c>
      <c r="BH53" s="47">
        <v>0.64480701528258866</v>
      </c>
      <c r="BI53" s="16">
        <v>0.64480701528258888</v>
      </c>
      <c r="BJ53" s="16">
        <v>0.64480701528258855</v>
      </c>
      <c r="BK53" s="16">
        <v>0.64480701528258844</v>
      </c>
      <c r="BL53" s="16">
        <v>0.64480701528258921</v>
      </c>
      <c r="BM53" s="47">
        <v>2.1414108914151035</v>
      </c>
      <c r="BN53" s="16">
        <v>2.141410891415104</v>
      </c>
      <c r="BO53" s="16">
        <v>2.1414108914151027</v>
      </c>
      <c r="BP53" s="16">
        <v>2.1414108914151031</v>
      </c>
      <c r="BQ53" s="16">
        <v>2.141410891415104</v>
      </c>
      <c r="BT53" s="16">
        <v>-517.76890413745184</v>
      </c>
      <c r="BU53" s="47">
        <v>0.37485000000000007</v>
      </c>
      <c r="BV53" s="16">
        <v>47.25</v>
      </c>
      <c r="BW53" s="16">
        <v>207.54184500000005</v>
      </c>
      <c r="BX53" s="16">
        <v>62.215300000000006</v>
      </c>
      <c r="BY53" s="47">
        <v>1.1810688882965777E-3</v>
      </c>
      <c r="BZ53" s="16">
        <v>0.14887422961721564</v>
      </c>
      <c r="CA53" s="16">
        <v>0.65391814365525047</v>
      </c>
      <c r="CB53" s="16">
        <v>0.1960265578392372</v>
      </c>
      <c r="CC53" s="47">
        <v>0.61152074400415757</v>
      </c>
      <c r="CD53" s="16">
        <v>77.08244672321311</v>
      </c>
      <c r="CE53" s="16">
        <v>338.57848063597584</v>
      </c>
      <c r="CF53" s="16">
        <v>101.49645603425866</v>
      </c>
      <c r="CG53" s="47">
        <v>1.6640020245011091</v>
      </c>
      <c r="CH53" s="16">
        <v>0.88094224826529266</v>
      </c>
      <c r="CI53" s="16">
        <v>2.7896504528400938</v>
      </c>
      <c r="CJ53" s="16">
        <v>0.91356973894178517</v>
      </c>
      <c r="CK53" s="47">
        <v>0.63137453382461672</v>
      </c>
      <c r="CL53" s="16">
        <v>0.38701997654972164</v>
      </c>
      <c r="CM53" s="16">
        <v>0.38701997654972176</v>
      </c>
      <c r="CN53" s="16">
        <v>0.63137453382461617</v>
      </c>
      <c r="CO53" s="47">
        <v>1.0939145088084132</v>
      </c>
      <c r="CP53" s="16">
        <v>1.0939145088084126</v>
      </c>
      <c r="CQ53" s="16">
        <v>1.0939145088084128</v>
      </c>
      <c r="CR53" s="16">
        <v>1.0939145088084128</v>
      </c>
      <c r="CU53" s="16">
        <v>-115.10096006347327</v>
      </c>
      <c r="CV53" s="47">
        <v>14.787666666666667</v>
      </c>
      <c r="CW53" s="47">
        <v>3.4247744129969728</v>
      </c>
      <c r="CX53" s="47">
        <v>6.7835782113567564</v>
      </c>
      <c r="CY53" s="47">
        <v>7.7835782113567564</v>
      </c>
      <c r="DB53" s="16">
        <v>-108.68651154659659</v>
      </c>
      <c r="DC53" s="52">
        <v>3.9739126708079198</v>
      </c>
      <c r="DD53" s="47">
        <v>2.0805524579906356</v>
      </c>
      <c r="DE53" s="47">
        <v>3.0805524579906356</v>
      </c>
      <c r="DF53" s="47">
        <v>4.0106398646307779</v>
      </c>
      <c r="DI53" s="16">
        <v>-94.645848614309955</v>
      </c>
      <c r="DJ53" s="47">
        <v>34.333333333333336</v>
      </c>
      <c r="DK53" s="16">
        <v>24.01</v>
      </c>
      <c r="DL53" s="47">
        <v>0.58847054790607323</v>
      </c>
      <c r="DM53" s="16">
        <v>0.41152945209392677</v>
      </c>
      <c r="DN53" s="47">
        <v>-55.696294391098242</v>
      </c>
      <c r="DO53" s="16">
        <v>-38.949554223211713</v>
      </c>
      <c r="DP53" s="47">
        <v>1.6708888317329473</v>
      </c>
      <c r="DQ53" s="16">
        <v>4.7693331701891895</v>
      </c>
      <c r="DR53" s="47">
        <v>-0.38356162274916589</v>
      </c>
      <c r="DS53" s="16">
        <v>-0.38356162274916594</v>
      </c>
      <c r="DV53" s="16">
        <v>-70.691488739135707</v>
      </c>
      <c r="DW53" s="47">
        <v>2.3669025247478475</v>
      </c>
      <c r="DX53" s="47">
        <v>0.24212973253438314</v>
      </c>
      <c r="DY53" s="47">
        <v>-0.14143189021478281</v>
      </c>
      <c r="DZ53" s="47">
        <v>1</v>
      </c>
    </row>
    <row r="54" spans="1:130" x14ac:dyDescent="0.35">
      <c r="A54" s="13">
        <v>44470</v>
      </c>
      <c r="B54" s="47">
        <v>-120.4935949307507</v>
      </c>
      <c r="C54" s="47">
        <v>34.321999999999996</v>
      </c>
      <c r="D54" s="16">
        <v>6.6449999999999996</v>
      </c>
      <c r="E54" s="16">
        <v>43.083083333333342</v>
      </c>
      <c r="F54" s="47">
        <v>0.40835176645670584</v>
      </c>
      <c r="G54" s="16">
        <v>7.906000489787339E-2</v>
      </c>
      <c r="H54" s="16">
        <v>0.51258822864542086</v>
      </c>
      <c r="I54" s="47">
        <v>-49.203772336690825</v>
      </c>
      <c r="J54" s="16">
        <v>-9.526224205387523</v>
      </c>
      <c r="K54" s="16">
        <v>-61.763598388672364</v>
      </c>
      <c r="L54" s="47">
        <v>1.8780065777362913</v>
      </c>
      <c r="M54" s="16">
        <v>1.4335928074322835</v>
      </c>
      <c r="N54" s="16">
        <v>1.863670649661969</v>
      </c>
      <c r="O54" s="47">
        <v>0.4335928074322834</v>
      </c>
      <c r="P54" s="16">
        <v>0.43359280743228346</v>
      </c>
      <c r="Q54" s="16">
        <v>0.43359280743228384</v>
      </c>
      <c r="R54" s="47">
        <v>1.7719739596231259</v>
      </c>
      <c r="S54" s="16">
        <v>1.7719739596231259</v>
      </c>
      <c r="T54" s="16">
        <v>1.7719739596231263</v>
      </c>
      <c r="V54" s="16">
        <v>-167.33329385744321</v>
      </c>
      <c r="W54" s="47">
        <v>95.870166666666663</v>
      </c>
      <c r="X54" s="16">
        <v>57.074999999999996</v>
      </c>
      <c r="Y54" s="16">
        <v>53.884999999999998</v>
      </c>
      <c r="Z54" s="47">
        <v>0.46352119814888382</v>
      </c>
      <c r="AA54" s="16">
        <v>0.27595104195793491</v>
      </c>
      <c r="AB54" s="16">
        <v>0.26052775989318128</v>
      </c>
      <c r="AC54" s="47">
        <v>-77.562528859001333</v>
      </c>
      <c r="AD54" s="16">
        <v>-46.175796794214762</v>
      </c>
      <c r="AE54" s="16">
        <v>-43.594968204227108</v>
      </c>
      <c r="AF54" s="47">
        <v>1.05983869996358</v>
      </c>
      <c r="AG54" s="16">
        <v>0.80903717554471777</v>
      </c>
      <c r="AH54" s="16">
        <v>1.051748328208133</v>
      </c>
      <c r="AI54" s="47">
        <v>-0.23603714418525806</v>
      </c>
      <c r="AJ54" s="16">
        <v>-0.23603714418525776</v>
      </c>
      <c r="AK54" s="16">
        <v>-0.23603714418525787</v>
      </c>
      <c r="AM54" s="16">
        <v>-397.94390171436203</v>
      </c>
      <c r="AN54" s="47">
        <v>44.358333333333327</v>
      </c>
      <c r="AO54" s="16">
        <v>2.2160833333333336</v>
      </c>
      <c r="AP54" s="16">
        <v>7.3449999999999998</v>
      </c>
      <c r="AQ54" s="16">
        <v>77.364000000000004</v>
      </c>
      <c r="AR54" s="16">
        <v>87.471000000000004</v>
      </c>
      <c r="AS54" s="47">
        <v>0.20277685821962449</v>
      </c>
      <c r="AT54" s="16">
        <v>1.0130462127812278E-2</v>
      </c>
      <c r="AU54" s="16">
        <v>3.3576464932327084E-2</v>
      </c>
      <c r="AV54" s="16">
        <v>0.35365685949959869</v>
      </c>
      <c r="AW54" s="16">
        <v>0.39985935522063748</v>
      </c>
      <c r="AX54" s="47">
        <v>-80.693814137297366</v>
      </c>
      <c r="AY54" s="16">
        <v>-4.0313556253111962</v>
      </c>
      <c r="AZ54" s="16">
        <v>-13.361549460945692</v>
      </c>
      <c r="BA54" s="16">
        <v>-140.73559053731825</v>
      </c>
      <c r="BB54" s="16">
        <v>-159.12159195348954</v>
      </c>
      <c r="BC54" s="47">
        <v>1.8191353929129599</v>
      </c>
      <c r="BD54" s="16">
        <v>2.3830673647159779</v>
      </c>
      <c r="BE54" s="16">
        <v>2.3648760107868485</v>
      </c>
      <c r="BF54" s="16">
        <v>2.0374316400625156</v>
      </c>
      <c r="BG54" s="16">
        <v>1.9646662243459971</v>
      </c>
      <c r="BH54" s="47">
        <v>0.81913539291295989</v>
      </c>
      <c r="BI54" s="16">
        <v>0.81913539291296011</v>
      </c>
      <c r="BJ54" s="16">
        <v>0.81913539291296034</v>
      </c>
      <c r="BK54" s="16">
        <v>0.81913539291296023</v>
      </c>
      <c r="BL54" s="16">
        <v>0.81913539291296023</v>
      </c>
      <c r="BM54" s="47">
        <v>2.2485189159424617</v>
      </c>
      <c r="BN54" s="16">
        <v>2.2485189159424626</v>
      </c>
      <c r="BO54" s="16">
        <v>2.2485189159424621</v>
      </c>
      <c r="BP54" s="16">
        <v>2.248518915942463</v>
      </c>
      <c r="BQ54" s="16">
        <v>2.2485189159424626</v>
      </c>
      <c r="BT54" s="16">
        <v>-518.16329557858342</v>
      </c>
      <c r="BU54" s="47">
        <v>0.36749999999999999</v>
      </c>
      <c r="BV54" s="16">
        <v>49</v>
      </c>
      <c r="BW54" s="16">
        <v>220.89249000000004</v>
      </c>
      <c r="BX54" s="16">
        <v>68.881225000000001</v>
      </c>
      <c r="BY54" s="47">
        <v>1.0836194002548467E-3</v>
      </c>
      <c r="BZ54" s="16">
        <v>0.14448258670064623</v>
      </c>
      <c r="CA54" s="16">
        <v>0.65132894567238031</v>
      </c>
      <c r="CB54" s="16">
        <v>0.20310484822671879</v>
      </c>
      <c r="CC54" s="47">
        <v>0.56149179958893947</v>
      </c>
      <c r="CD54" s="16">
        <v>74.865573278525261</v>
      </c>
      <c r="CE54" s="16">
        <v>337.49475299532469</v>
      </c>
      <c r="CF54" s="16">
        <v>105.24147750514462</v>
      </c>
      <c r="CG54" s="47">
        <v>1.5278688424188829</v>
      </c>
      <c r="CH54" s="16">
        <v>0.85560655175457434</v>
      </c>
      <c r="CI54" s="16">
        <v>2.7807212932023671</v>
      </c>
      <c r="CJ54" s="16">
        <v>0.94727868229970746</v>
      </c>
      <c r="CK54" s="47">
        <v>0.52786884241888288</v>
      </c>
      <c r="CL54" s="16">
        <v>0.3454935579307804</v>
      </c>
      <c r="CM54" s="16">
        <v>0.34549355793078057</v>
      </c>
      <c r="CN54" s="16">
        <v>0.52786884241888299</v>
      </c>
      <c r="CO54" s="47">
        <v>1.0819882834575376</v>
      </c>
      <c r="CP54" s="16">
        <v>1.0819882834575374</v>
      </c>
      <c r="CQ54" s="16">
        <v>1.0819882834575378</v>
      </c>
      <c r="CR54" s="16">
        <v>1.0819882834575378</v>
      </c>
      <c r="CU54" s="16">
        <v>-135.00618064889409</v>
      </c>
      <c r="CV54" s="47">
        <v>17.140250000000002</v>
      </c>
      <c r="CW54" s="47">
        <v>4.0170447998679117</v>
      </c>
      <c r="CX54" s="47">
        <v>6.876558431113553</v>
      </c>
      <c r="CY54" s="47">
        <v>7.876558431113553</v>
      </c>
      <c r="DB54" s="16">
        <v>-109.00822119678485</v>
      </c>
      <c r="DC54" s="52">
        <v>3.9856753636850035</v>
      </c>
      <c r="DD54" s="47">
        <v>2.0425002776221399</v>
      </c>
      <c r="DE54" s="47">
        <v>3.0425002776221399</v>
      </c>
      <c r="DF54" s="47">
        <v>3.7606433543349245</v>
      </c>
      <c r="DI54" s="16">
        <v>-95.958249970879564</v>
      </c>
      <c r="DJ54" s="47">
        <v>35.666666666666664</v>
      </c>
      <c r="DK54" s="16">
        <v>23.683333333333334</v>
      </c>
      <c r="DL54" s="47">
        <v>0.60095478798090429</v>
      </c>
      <c r="DM54" s="16">
        <v>0.39904521201909582</v>
      </c>
      <c r="DN54" s="47">
        <v>-57.666569766268545</v>
      </c>
      <c r="DO54" s="16">
        <v>-38.291680204611033</v>
      </c>
      <c r="DP54" s="47">
        <v>1.7299970929880564</v>
      </c>
      <c r="DQ54" s="16">
        <v>4.6887771679115549</v>
      </c>
      <c r="DR54" s="47">
        <v>-0.3815018508777418</v>
      </c>
      <c r="DS54" s="16">
        <v>-0.38150185087774191</v>
      </c>
      <c r="DV54" s="16">
        <v>-79.920814676090131</v>
      </c>
      <c r="DW54" s="47">
        <v>2.6759201342440893</v>
      </c>
      <c r="DX54" s="47">
        <v>8.373936982958953E-2</v>
      </c>
      <c r="DY54" s="47">
        <v>-0.29776248104815239</v>
      </c>
      <c r="DZ54" s="47">
        <v>1</v>
      </c>
    </row>
    <row r="55" spans="1:130" x14ac:dyDescent="0.35">
      <c r="A55" s="13">
        <v>44501</v>
      </c>
      <c r="B55" s="47">
        <v>-106.9115994611888</v>
      </c>
      <c r="C55" s="47">
        <v>34.321999999999996</v>
      </c>
      <c r="D55" s="16">
        <v>6.7114499999999992</v>
      </c>
      <c r="E55" s="16">
        <v>43.083083333333342</v>
      </c>
      <c r="F55" s="47">
        <v>0.40802917856814508</v>
      </c>
      <c r="G55" s="16">
        <v>7.9787524925737929E-2</v>
      </c>
      <c r="H55" s="16">
        <v>0.51218329650611694</v>
      </c>
      <c r="I55" s="47">
        <v>-43.623052107555409</v>
      </c>
      <c r="J55" s="16">
        <v>-8.5302119068601119</v>
      </c>
      <c r="K55" s="16">
        <v>-54.758335446773273</v>
      </c>
      <c r="L55" s="47">
        <v>1.6650019888379928</v>
      </c>
      <c r="M55" s="16">
        <v>1.2837038234552465</v>
      </c>
      <c r="N55" s="16">
        <v>1.6522920499919014</v>
      </c>
      <c r="O55" s="47">
        <v>0.27099388460915474</v>
      </c>
      <c r="P55" s="16">
        <v>0.27099388460915491</v>
      </c>
      <c r="Q55" s="16">
        <v>0.27099388460915486</v>
      </c>
      <c r="R55" s="47">
        <v>1.5448688004986688</v>
      </c>
      <c r="S55" s="16">
        <v>1.544868800498669</v>
      </c>
      <c r="T55" s="16">
        <v>1.5448688004986686</v>
      </c>
      <c r="V55" s="16">
        <v>-170.6328049738444</v>
      </c>
      <c r="W55" s="47">
        <v>95.870166666666663</v>
      </c>
      <c r="X55" s="16">
        <v>57.64575</v>
      </c>
      <c r="Y55" s="16">
        <v>53.884999999999998</v>
      </c>
      <c r="Z55" s="47">
        <v>0.46224562652608014</v>
      </c>
      <c r="AA55" s="16">
        <v>0.27794356421600513</v>
      </c>
      <c r="AB55" s="16">
        <v>0.25981080925791472</v>
      </c>
      <c r="AC55" s="47">
        <v>-78.874267841037152</v>
      </c>
      <c r="AD55" s="16">
        <v>-47.4262899866048</v>
      </c>
      <c r="AE55" s="16">
        <v>-44.332247146202448</v>
      </c>
      <c r="AF55" s="47">
        <v>1.0777627124714708</v>
      </c>
      <c r="AG55" s="16">
        <v>0.83094682411922549</v>
      </c>
      <c r="AH55" s="16">
        <v>1.0695355161930629</v>
      </c>
      <c r="AI55" s="47">
        <v>-0.21548090766285138</v>
      </c>
      <c r="AJ55" s="16">
        <v>-0.21548090766285147</v>
      </c>
      <c r="AK55" s="16">
        <v>-0.21548090766285111</v>
      </c>
      <c r="AM55" s="16">
        <v>-354.3608020368905</v>
      </c>
      <c r="AN55" s="47">
        <v>44.801916666666664</v>
      </c>
      <c r="AO55" s="16">
        <v>2.2160833333333336</v>
      </c>
      <c r="AP55" s="16">
        <v>7.3449999999999998</v>
      </c>
      <c r="AQ55" s="16">
        <v>79.436249999999987</v>
      </c>
      <c r="AR55" s="16">
        <v>86.661083333333337</v>
      </c>
      <c r="AS55" s="47">
        <v>0.20321985360934167</v>
      </c>
      <c r="AT55" s="16">
        <v>1.0052072859667879E-2</v>
      </c>
      <c r="AU55" s="16">
        <v>3.331665106799258E-2</v>
      </c>
      <c r="AV55" s="16">
        <v>0.36031992149759362</v>
      </c>
      <c r="AW55" s="16">
        <v>0.39309150096540424</v>
      </c>
      <c r="AX55" s="47">
        <v>-72.013150314825793</v>
      </c>
      <c r="AY55" s="16">
        <v>-3.5620606006851689</v>
      </c>
      <c r="AZ55" s="16">
        <v>-11.806115193637075</v>
      </c>
      <c r="BA55" s="16">
        <v>-127.6832563717567</v>
      </c>
      <c r="BB55" s="16">
        <v>-139.29621955598577</v>
      </c>
      <c r="BC55" s="47">
        <v>1.6234412996015584</v>
      </c>
      <c r="BD55" s="16">
        <v>2.1056515866119225</v>
      </c>
      <c r="BE55" s="16">
        <v>2.0895779103782433</v>
      </c>
      <c r="BF55" s="16">
        <v>1.8484727668730612</v>
      </c>
      <c r="BG55" s="16">
        <v>1.7198833570036314</v>
      </c>
      <c r="BH55" s="47">
        <v>0.60736762336787953</v>
      </c>
      <c r="BI55" s="16">
        <v>0.60736762336787975</v>
      </c>
      <c r="BJ55" s="16">
        <v>0.60736762336787942</v>
      </c>
      <c r="BK55" s="16">
        <v>0.60736762336787942</v>
      </c>
      <c r="BL55" s="16">
        <v>0.60736762336787975</v>
      </c>
      <c r="BM55" s="47">
        <v>1.9537246577990706</v>
      </c>
      <c r="BN55" s="16">
        <v>1.953724657799071</v>
      </c>
      <c r="BO55" s="16">
        <v>1.9537246577990697</v>
      </c>
      <c r="BP55" s="16">
        <v>1.9537246577990701</v>
      </c>
      <c r="BQ55" s="16">
        <v>1.9537246577990706</v>
      </c>
      <c r="BT55" s="16">
        <v>-523.41356903935628</v>
      </c>
      <c r="BU55" s="47">
        <v>0.37117500000000003</v>
      </c>
      <c r="BV55" s="16">
        <v>50.75</v>
      </c>
      <c r="BW55" s="16">
        <v>223.31988000000004</v>
      </c>
      <c r="BX55" s="16">
        <v>68.881225000000001</v>
      </c>
      <c r="BY55" s="47">
        <v>1.081127039002537E-3</v>
      </c>
      <c r="BZ55" s="16">
        <v>0.14782029293292584</v>
      </c>
      <c r="CA55" s="16">
        <v>0.6504671936816917</v>
      </c>
      <c r="CB55" s="16">
        <v>0.20063138634637981</v>
      </c>
      <c r="CC55" s="47">
        <v>0.56587656206926917</v>
      </c>
      <c r="CD55" s="16">
        <v>77.371147100465848</v>
      </c>
      <c r="CE55" s="16">
        <v>340.46335538794847</v>
      </c>
      <c r="CF55" s="16">
        <v>105.01318998887263</v>
      </c>
      <c r="CG55" s="47">
        <v>1.5398001688959706</v>
      </c>
      <c r="CH55" s="16">
        <v>0.88424168114818114</v>
      </c>
      <c r="CI55" s="16">
        <v>2.8051805057114714</v>
      </c>
      <c r="CJ55" s="16">
        <v>0.94522386605495234</v>
      </c>
      <c r="CK55" s="47">
        <v>0.52455462266927777</v>
      </c>
      <c r="CL55" s="16">
        <v>0.34407073047396458</v>
      </c>
      <c r="CM55" s="16">
        <v>0.34407073047396458</v>
      </c>
      <c r="CN55" s="16">
        <v>0.52455462266927799</v>
      </c>
      <c r="CO55" s="47">
        <v>1.0533548617106634</v>
      </c>
      <c r="CP55" s="16">
        <v>1.0533548617106634</v>
      </c>
      <c r="CQ55" s="16">
        <v>1.0533548617106634</v>
      </c>
      <c r="CR55" s="16">
        <v>1.0533548617106634</v>
      </c>
      <c r="CU55" s="16">
        <v>-127.34469988608012</v>
      </c>
      <c r="CV55" s="47">
        <v>15.123750000000001</v>
      </c>
      <c r="CW55" s="47">
        <v>3.7890810776914492</v>
      </c>
      <c r="CX55" s="47">
        <v>7.4201801726476644</v>
      </c>
      <c r="CY55" s="47">
        <v>8.4201801726476653</v>
      </c>
      <c r="DB55" s="16">
        <v>-108.96521179761896</v>
      </c>
      <c r="DC55" s="52">
        <v>3.9841028079568179</v>
      </c>
      <c r="DD55" s="47">
        <v>2.0412998534021511</v>
      </c>
      <c r="DE55" s="47">
        <v>3.0412998534021511</v>
      </c>
      <c r="DF55" s="47">
        <v>3.6966419062881437</v>
      </c>
      <c r="DI55" s="16">
        <v>-90.969009589663543</v>
      </c>
      <c r="DJ55" s="47">
        <v>36.666666666666671</v>
      </c>
      <c r="DK55" s="16">
        <v>23.683333333333334</v>
      </c>
      <c r="DL55" s="47">
        <v>0.60756697045015184</v>
      </c>
      <c r="DM55" s="16">
        <v>0.39243302954984804</v>
      </c>
      <c r="DN55" s="47">
        <v>-55.269765561242693</v>
      </c>
      <c r="DO55" s="16">
        <v>-35.699244028420843</v>
      </c>
      <c r="DP55" s="47">
        <v>1.6580929668372808</v>
      </c>
      <c r="DQ55" s="16">
        <v>4.3713360034801036</v>
      </c>
      <c r="DR55" s="47">
        <v>-0.33658725897728864</v>
      </c>
      <c r="DS55" s="16">
        <v>-0.33658725897728869</v>
      </c>
      <c r="DV55" s="16">
        <v>-78.080112772582055</v>
      </c>
      <c r="DW55" s="47">
        <v>2.6142894901534173</v>
      </c>
      <c r="DX55" s="47">
        <v>0.10928801531838617</v>
      </c>
      <c r="DY55" s="47">
        <v>-0.22729924365890253</v>
      </c>
      <c r="DZ55" s="47">
        <v>1</v>
      </c>
    </row>
    <row r="56" spans="1:130" x14ac:dyDescent="0.35">
      <c r="A56" s="13">
        <v>44531</v>
      </c>
      <c r="B56" s="47">
        <v>-105.57578028847726</v>
      </c>
      <c r="C56" s="47">
        <v>35.107999999999997</v>
      </c>
      <c r="D56" s="16">
        <v>6.9107999999999992</v>
      </c>
      <c r="E56" s="16">
        <v>43.745900000000006</v>
      </c>
      <c r="F56" s="47">
        <v>0.4093525657992157</v>
      </c>
      <c r="G56" s="16">
        <v>8.0578606349698642E-2</v>
      </c>
      <c r="H56" s="16">
        <v>0.51006882785108565</v>
      </c>
      <c r="I56" s="47">
        <v>-43.217716547342427</v>
      </c>
      <c r="J56" s="16">
        <v>-8.5071492399274824</v>
      </c>
      <c r="K56" s="16">
        <v>-53.850914501207349</v>
      </c>
      <c r="L56" s="47">
        <v>1.6495311659291003</v>
      </c>
      <c r="M56" s="16">
        <v>1.2802331437061674</v>
      </c>
      <c r="N56" s="16">
        <v>1.624911297780905</v>
      </c>
      <c r="O56" s="47">
        <v>0.23099340740977628</v>
      </c>
      <c r="P56" s="16">
        <v>0.23099340740977628</v>
      </c>
      <c r="Q56" s="16">
        <v>0.23099340740977647</v>
      </c>
      <c r="R56" s="47">
        <v>1.4214195170073367</v>
      </c>
      <c r="S56" s="16">
        <v>1.4214195170073369</v>
      </c>
      <c r="T56" s="16">
        <v>1.4214195170073372</v>
      </c>
      <c r="V56" s="16">
        <v>-183.71780182093238</v>
      </c>
      <c r="W56" s="47">
        <v>98.065666666666687</v>
      </c>
      <c r="X56" s="16">
        <v>59.358000000000004</v>
      </c>
      <c r="Y56" s="16">
        <v>54.713999999999999</v>
      </c>
      <c r="Z56" s="47">
        <v>0.4622737121963254</v>
      </c>
      <c r="AA56" s="16">
        <v>0.27980886625508905</v>
      </c>
      <c r="AB56" s="16">
        <v>0.25791742154858555</v>
      </c>
      <c r="AC56" s="47">
        <v>-84.927910244311235</v>
      </c>
      <c r="AD56" s="16">
        <v>-51.405869838392221</v>
      </c>
      <c r="AE56" s="16">
        <v>-47.384021738228917</v>
      </c>
      <c r="AF56" s="47">
        <v>1.1604815792891539</v>
      </c>
      <c r="AG56" s="16">
        <v>0.90067227049307441</v>
      </c>
      <c r="AH56" s="16">
        <v>1.1431609587027485</v>
      </c>
      <c r="AI56" s="47">
        <v>-0.15469303771354059</v>
      </c>
      <c r="AJ56" s="16">
        <v>-0.15469303771354084</v>
      </c>
      <c r="AK56" s="16">
        <v>-0.15469303771354068</v>
      </c>
      <c r="AM56" s="16">
        <v>-323.85220434653019</v>
      </c>
      <c r="AN56" s="47">
        <v>46.132666666666665</v>
      </c>
      <c r="AO56" s="16">
        <v>2.2668333333333335</v>
      </c>
      <c r="AP56" s="16">
        <v>7.4579999999999993</v>
      </c>
      <c r="AQ56" s="16">
        <v>78.745499999999993</v>
      </c>
      <c r="AR56" s="16">
        <v>84.231333333333339</v>
      </c>
      <c r="AS56" s="47">
        <v>0.2108109178480525</v>
      </c>
      <c r="AT56" s="16">
        <v>1.0358673151531678E-2</v>
      </c>
      <c r="AU56" s="16">
        <v>3.4080575412450513E-2</v>
      </c>
      <c r="AV56" s="16">
        <v>0.35984070141339797</v>
      </c>
      <c r="AW56" s="16">
        <v>0.3849091321745674</v>
      </c>
      <c r="AX56" s="47">
        <v>-68.271580445407082</v>
      </c>
      <c r="AY56" s="16">
        <v>-3.354679134228753</v>
      </c>
      <c r="AZ56" s="16">
        <v>-11.037069472720257</v>
      </c>
      <c r="BA56" s="16">
        <v>-116.53520436633052</v>
      </c>
      <c r="BB56" s="16">
        <v>-124.65367092784361</v>
      </c>
      <c r="BC56" s="47">
        <v>1.5390925518408514</v>
      </c>
      <c r="BD56" s="16">
        <v>1.9830615571795585</v>
      </c>
      <c r="BE56" s="16">
        <v>1.9534636234903109</v>
      </c>
      <c r="BF56" s="16">
        <v>1.6870822202870868</v>
      </c>
      <c r="BG56" s="16">
        <v>1.5390925518408514</v>
      </c>
      <c r="BH56" s="47">
        <v>0.479896684462357</v>
      </c>
      <c r="BI56" s="16">
        <v>0.47989668446235695</v>
      </c>
      <c r="BJ56" s="16">
        <v>0.47989668446235667</v>
      </c>
      <c r="BK56" s="16">
        <v>0.47989668446235695</v>
      </c>
      <c r="BL56" s="16">
        <v>0.479896684462357</v>
      </c>
      <c r="BM56" s="47">
        <v>1.7088263980840366</v>
      </c>
      <c r="BN56" s="16">
        <v>1.7088263980840361</v>
      </c>
      <c r="BO56" s="16">
        <v>1.7088263980840361</v>
      </c>
      <c r="BP56" s="16">
        <v>1.7088263980840361</v>
      </c>
      <c r="BQ56" s="16">
        <v>1.7088263980840361</v>
      </c>
      <c r="BT56" s="16">
        <v>-529.37741722910846</v>
      </c>
      <c r="BU56" s="47">
        <v>0.38220000000000004</v>
      </c>
      <c r="BV56" s="16">
        <v>53.375</v>
      </c>
      <c r="BW56" s="16">
        <v>214.82401500000003</v>
      </c>
      <c r="BX56" s="16">
        <v>66.65925</v>
      </c>
      <c r="BY56" s="47">
        <v>1.1400771681903019E-3</v>
      </c>
      <c r="BZ56" s="16">
        <v>0.1592140733965394</v>
      </c>
      <c r="CA56" s="16">
        <v>0.64080574223043152</v>
      </c>
      <c r="CB56" s="16">
        <v>0.19884010720483875</v>
      </c>
      <c r="CC56" s="47">
        <v>0.60353110673845789</v>
      </c>
      <c r="CD56" s="16">
        <v>84.284334961185735</v>
      </c>
      <c r="CE56" s="16">
        <v>339.22808876752765</v>
      </c>
      <c r="CF56" s="16">
        <v>105.26146239365657</v>
      </c>
      <c r="CG56" s="47">
        <v>1.6422615149345792</v>
      </c>
      <c r="CH56" s="16">
        <v>0.96324954241355121</v>
      </c>
      <c r="CI56" s="16">
        <v>2.7950027706098122</v>
      </c>
      <c r="CJ56" s="16">
        <v>0.94745856630841097</v>
      </c>
      <c r="CK56" s="47">
        <v>0.57909761051401842</v>
      </c>
      <c r="CL56" s="16">
        <v>0.36672692470575902</v>
      </c>
      <c r="CM56" s="16">
        <v>0.36672692470575891</v>
      </c>
      <c r="CN56" s="16">
        <v>0.57909761051401831</v>
      </c>
      <c r="CO56" s="47">
        <v>0.90892136371356114</v>
      </c>
      <c r="CP56" s="16">
        <v>0.90892136371356114</v>
      </c>
      <c r="CQ56" s="16">
        <v>0.90892136371356091</v>
      </c>
      <c r="CR56" s="16">
        <v>0.90892136371356114</v>
      </c>
      <c r="CU56" s="16">
        <v>-152.95295027159983</v>
      </c>
      <c r="CV56" s="47">
        <v>13.779416666666668</v>
      </c>
      <c r="CW56" s="47">
        <v>4.5510424082796881</v>
      </c>
      <c r="CX56" s="47">
        <v>10.100103434828508</v>
      </c>
      <c r="CY56" s="47">
        <v>11.100103434828508</v>
      </c>
      <c r="DB56" s="16">
        <v>-109.42466498521119</v>
      </c>
      <c r="DC56" s="52">
        <v>4.0009018276128412</v>
      </c>
      <c r="DD56" s="47">
        <v>1.9857476325468963</v>
      </c>
      <c r="DE56" s="47">
        <v>2.9857476325468966</v>
      </c>
      <c r="DF56" s="47">
        <v>3.4476220036715879</v>
      </c>
      <c r="DI56" s="16">
        <v>-88.914200936000043</v>
      </c>
      <c r="DJ56" s="47">
        <v>37.999999999999993</v>
      </c>
      <c r="DK56" s="16">
        <v>24.173333333333332</v>
      </c>
      <c r="DL56" s="47">
        <v>0.61119450997212088</v>
      </c>
      <c r="DM56" s="16">
        <v>0.38880549002787906</v>
      </c>
      <c r="DN56" s="47">
        <v>-54.34387147064124</v>
      </c>
      <c r="DO56" s="16">
        <v>-34.570329465358803</v>
      </c>
      <c r="DP56" s="47">
        <v>1.6303161441192371</v>
      </c>
      <c r="DQ56" s="16">
        <v>4.2331015671867922</v>
      </c>
      <c r="DR56" s="47">
        <v>-0.30074911905146218</v>
      </c>
      <c r="DS56" s="16">
        <v>-0.30074911905146229</v>
      </c>
      <c r="DV56" s="16">
        <v>-91.336177521045926</v>
      </c>
      <c r="DW56" s="47">
        <v>3.0581309437850202</v>
      </c>
      <c r="DX56" s="47">
        <v>-3.2088535641173178E-2</v>
      </c>
      <c r="DY56" s="47">
        <v>-0.33283765469263549</v>
      </c>
      <c r="DZ56" s="47">
        <v>1</v>
      </c>
    </row>
    <row r="57" spans="1:130" x14ac:dyDescent="0.35">
      <c r="A57" s="13">
        <v>44562</v>
      </c>
      <c r="B57" s="47">
        <v>-103.4662915141697</v>
      </c>
      <c r="C57" s="47">
        <v>36.417999999999999</v>
      </c>
      <c r="D57" s="16">
        <v>7.3094999999999999</v>
      </c>
      <c r="E57" s="16">
        <v>45.402941666666671</v>
      </c>
      <c r="F57" s="47">
        <v>0.40859216356401984</v>
      </c>
      <c r="G57" s="16">
        <v>8.200901805621405E-2</v>
      </c>
      <c r="H57" s="16">
        <v>0.50939881837976608</v>
      </c>
      <c r="I57" s="47">
        <v>-42.275515905720184</v>
      </c>
      <c r="J57" s="16">
        <v>-8.4851689689950494</v>
      </c>
      <c r="K57" s="16">
        <v>-52.705606639454459</v>
      </c>
      <c r="L57" s="47">
        <v>1.6135693093786332</v>
      </c>
      <c r="M57" s="16">
        <v>1.276925352745681</v>
      </c>
      <c r="N57" s="16">
        <v>1.5903524847832573</v>
      </c>
      <c r="O57" s="47">
        <v>0.16084122976880094</v>
      </c>
      <c r="P57" s="16">
        <v>0.1608412297688008</v>
      </c>
      <c r="Q57" s="16">
        <v>0.16084122976880086</v>
      </c>
      <c r="R57" s="47">
        <v>1.3630183101301441</v>
      </c>
      <c r="S57" s="16">
        <v>1.3630183101301441</v>
      </c>
      <c r="T57" s="16">
        <v>1.3630183101301441</v>
      </c>
      <c r="V57" s="16">
        <v>-188.4692257746637</v>
      </c>
      <c r="W57" s="47">
        <v>101.72483333333332</v>
      </c>
      <c r="X57" s="16">
        <v>62.782499999999999</v>
      </c>
      <c r="Y57" s="16">
        <v>56.786499999999997</v>
      </c>
      <c r="Z57" s="47">
        <v>0.45968218725781634</v>
      </c>
      <c r="AA57" s="16">
        <v>0.28370650485063981</v>
      </c>
      <c r="AB57" s="16">
        <v>0.2566113078915439</v>
      </c>
      <c r="AC57" s="47">
        <v>-86.635945934884631</v>
      </c>
      <c r="AD57" s="16">
        <v>-53.469945316435954</v>
      </c>
      <c r="AE57" s="16">
        <v>-48.363334523343127</v>
      </c>
      <c r="AF57" s="47">
        <v>1.1838207142093093</v>
      </c>
      <c r="AG57" s="16">
        <v>0.93683653642463349</v>
      </c>
      <c r="AH57" s="16">
        <v>1.1667873226379524</v>
      </c>
      <c r="AI57" s="47">
        <v>-0.17416428291542493</v>
      </c>
      <c r="AJ57" s="16">
        <v>-0.17416428291542485</v>
      </c>
      <c r="AK57" s="16">
        <v>-0.1741642829154251</v>
      </c>
      <c r="AM57" s="16">
        <v>-339.62049585202243</v>
      </c>
      <c r="AN57" s="47">
        <v>48.794166666666662</v>
      </c>
      <c r="AO57" s="16">
        <v>2.3514166666666667</v>
      </c>
      <c r="AP57" s="16">
        <v>7.7405000000000008</v>
      </c>
      <c r="AQ57" s="16">
        <v>78.745499999999993</v>
      </c>
      <c r="AR57" s="16">
        <v>89.900750000000002</v>
      </c>
      <c r="AS57" s="47">
        <v>0.2144493749606283</v>
      </c>
      <c r="AT57" s="16">
        <v>1.0334428659956022E-2</v>
      </c>
      <c r="AU57" s="16">
        <v>3.4019340840935434E-2</v>
      </c>
      <c r="AV57" s="16">
        <v>0.34608487877913319</v>
      </c>
      <c r="AW57" s="16">
        <v>0.39511197675934706</v>
      </c>
      <c r="AX57" s="47">
        <v>-72.831403059284867</v>
      </c>
      <c r="AY57" s="16">
        <v>-3.5097837858416159</v>
      </c>
      <c r="AZ57" s="16">
        <v>-11.553665404957449</v>
      </c>
      <c r="BA57" s="16">
        <v>-117.53751813785628</v>
      </c>
      <c r="BB57" s="16">
        <v>-134.18812546408222</v>
      </c>
      <c r="BC57" s="47">
        <v>1.6418877263036227</v>
      </c>
      <c r="BD57" s="16">
        <v>2.0747490359654872</v>
      </c>
      <c r="BE57" s="16">
        <v>2.0448965318508758</v>
      </c>
      <c r="BF57" s="16">
        <v>1.7015927345328452</v>
      </c>
      <c r="BG57" s="16">
        <v>1.6568139783609288</v>
      </c>
      <c r="BH57" s="47">
        <v>0.49262520573056595</v>
      </c>
      <c r="BI57" s="16">
        <v>0.49262520573056645</v>
      </c>
      <c r="BJ57" s="16">
        <v>0.49262520573056617</v>
      </c>
      <c r="BK57" s="16">
        <v>0.49262520573056612</v>
      </c>
      <c r="BL57" s="16">
        <v>0.49262520573056634</v>
      </c>
      <c r="BM57" s="47">
        <v>1.7525872043481185</v>
      </c>
      <c r="BN57" s="16">
        <v>1.752587204348119</v>
      </c>
      <c r="BO57" s="16">
        <v>1.752587204348119</v>
      </c>
      <c r="BP57" s="16">
        <v>1.7525872043481185</v>
      </c>
      <c r="BQ57" s="16">
        <v>1.752587204348119</v>
      </c>
      <c r="BT57" s="16">
        <v>-532.0328771364434</v>
      </c>
      <c r="BU57" s="47">
        <v>0.40425000000000005</v>
      </c>
      <c r="BV57" s="16">
        <v>56.875</v>
      </c>
      <c r="BW57" s="16">
        <v>223.31988000000004</v>
      </c>
      <c r="BX57" s="16">
        <v>74.436162500000009</v>
      </c>
      <c r="BY57" s="47">
        <v>1.138619197977339E-3</v>
      </c>
      <c r="BZ57" s="16">
        <v>0.16019534170676844</v>
      </c>
      <c r="CA57" s="16">
        <v>0.62900755141124454</v>
      </c>
      <c r="CB57" s="16">
        <v>0.20965848768400958</v>
      </c>
      <c r="CC57" s="47">
        <v>0.60578284786267333</v>
      </c>
      <c r="CD57" s="16">
        <v>85.229188552107701</v>
      </c>
      <c r="CE57" s="16">
        <v>334.65269731787379</v>
      </c>
      <c r="CF57" s="16">
        <v>111.5452084185992</v>
      </c>
      <c r="CG57" s="47">
        <v>1.6483887016671384</v>
      </c>
      <c r="CH57" s="16">
        <v>0.97404786916694519</v>
      </c>
      <c r="CI57" s="16">
        <v>2.7573047373341222</v>
      </c>
      <c r="CJ57" s="16">
        <v>1.0040185728336206</v>
      </c>
      <c r="CK57" s="47">
        <v>0.49853518333376201</v>
      </c>
      <c r="CL57" s="16">
        <v>0.33268166732307236</v>
      </c>
      <c r="CM57" s="16">
        <v>0.33268166732307247</v>
      </c>
      <c r="CN57" s="16">
        <v>0.49853518333376201</v>
      </c>
      <c r="CO57" s="47">
        <v>1.0124539766072318</v>
      </c>
      <c r="CP57" s="16">
        <v>1.0124539766072316</v>
      </c>
      <c r="CQ57" s="16">
        <v>1.0124539766072318</v>
      </c>
      <c r="CR57" s="16">
        <v>1.0124539766072318</v>
      </c>
      <c r="CU57" s="16">
        <v>-128.88106689205571</v>
      </c>
      <c r="CV57" s="47">
        <v>14.451583333333334</v>
      </c>
      <c r="CW57" s="47">
        <v>3.8347949484370654</v>
      </c>
      <c r="CX57" s="47">
        <v>7.9181277870629421</v>
      </c>
      <c r="CY57" s="47">
        <v>8.918127787062943</v>
      </c>
      <c r="DB57" s="16">
        <v>-108.98815138530387</v>
      </c>
      <c r="DC57" s="52">
        <v>3.9849415497368872</v>
      </c>
      <c r="DD57" s="47">
        <v>1.8668644242711423</v>
      </c>
      <c r="DE57" s="47">
        <v>2.8668644242711423</v>
      </c>
      <c r="DF57" s="47">
        <v>3.3661698109400682</v>
      </c>
      <c r="DI57" s="16">
        <v>-83.385575216108208</v>
      </c>
      <c r="DJ57" s="47">
        <v>40</v>
      </c>
      <c r="DK57" s="16">
        <v>24.5</v>
      </c>
      <c r="DL57" s="47">
        <v>0.62015503875968991</v>
      </c>
      <c r="DM57" s="16">
        <v>0.37984496124031009</v>
      </c>
      <c r="DN57" s="47">
        <v>-51.711984630144627</v>
      </c>
      <c r="DO57" s="16">
        <v>-31.673590585963584</v>
      </c>
      <c r="DP57" s="47">
        <v>1.5513595389043386</v>
      </c>
      <c r="DQ57" s="16">
        <v>3.878398847260847</v>
      </c>
      <c r="DR57" s="47">
        <v>-0.22648491861047856</v>
      </c>
      <c r="DS57" s="16">
        <v>-0.22648491861047862</v>
      </c>
      <c r="DV57" s="16">
        <v>-83.572547413804074</v>
      </c>
      <c r="DW57" s="47">
        <v>2.798187971444333</v>
      </c>
      <c r="DX57" s="47">
        <v>7.2122398714871999E-2</v>
      </c>
      <c r="DY57" s="47">
        <v>-0.15436251989560662</v>
      </c>
      <c r="DZ57" s="47">
        <v>1</v>
      </c>
    </row>
    <row r="58" spans="1:130" x14ac:dyDescent="0.35">
      <c r="A58" s="13">
        <v>44593</v>
      </c>
      <c r="B58" s="47">
        <v>-99.002152873246118</v>
      </c>
      <c r="C58" s="47">
        <v>38.251999999999995</v>
      </c>
      <c r="D58" s="16">
        <v>7.6417499999999992</v>
      </c>
      <c r="E58" s="16">
        <v>48.054208333333328</v>
      </c>
      <c r="F58" s="47">
        <v>0.40716158901803345</v>
      </c>
      <c r="G58" s="16">
        <v>8.1340245552613114E-2</v>
      </c>
      <c r="H58" s="16">
        <v>0.51149816542935334</v>
      </c>
      <c r="I58" s="47">
        <v>-40.309873880077156</v>
      </c>
      <c r="J58" s="16">
        <v>-8.0528594249471812</v>
      </c>
      <c r="K58" s="16">
        <v>-50.639419568221768</v>
      </c>
      <c r="L58" s="47">
        <v>1.5385448045830978</v>
      </c>
      <c r="M58" s="16">
        <v>1.2118674830620288</v>
      </c>
      <c r="N58" s="16">
        <v>1.5280068264695146</v>
      </c>
      <c r="O58" s="47">
        <v>5.3797811358286214E-2</v>
      </c>
      <c r="P58" s="16">
        <v>5.3797811358286041E-2</v>
      </c>
      <c r="Q58" s="16">
        <v>5.379781135828595E-2</v>
      </c>
      <c r="R58" s="47">
        <v>1.2233254802641966</v>
      </c>
      <c r="S58" s="16">
        <v>1.2233254802641964</v>
      </c>
      <c r="T58" s="16">
        <v>1.223325480264196</v>
      </c>
      <c r="V58" s="16">
        <v>-200.35473861140107</v>
      </c>
      <c r="W58" s="47">
        <v>106.84766666666667</v>
      </c>
      <c r="X58" s="16">
        <v>65.63624999999999</v>
      </c>
      <c r="Y58" s="16">
        <v>60.102499999999992</v>
      </c>
      <c r="Z58" s="47">
        <v>0.45938910877928174</v>
      </c>
      <c r="AA58" s="16">
        <v>0.282201561641784</v>
      </c>
      <c r="AB58" s="16">
        <v>0.25840932957893425</v>
      </c>
      <c r="AC58" s="47">
        <v>-92.040784810397483</v>
      </c>
      <c r="AD58" s="16">
        <v>-56.540420118468823</v>
      </c>
      <c r="AE58" s="16">
        <v>-51.773533682534762</v>
      </c>
      <c r="AF58" s="47">
        <v>1.2576741263092344</v>
      </c>
      <c r="AG58" s="16">
        <v>0.99063372962713658</v>
      </c>
      <c r="AH58" s="16">
        <v>1.2490599199646506</v>
      </c>
      <c r="AI58" s="47">
        <v>-0.16087305086295314</v>
      </c>
      <c r="AJ58" s="16">
        <v>-0.16087305086295314</v>
      </c>
      <c r="AK58" s="16">
        <v>-0.16087305086295309</v>
      </c>
      <c r="AM58" s="16">
        <v>-325.05717490603058</v>
      </c>
      <c r="AN58" s="47">
        <v>51.012083333333322</v>
      </c>
      <c r="AO58" s="16">
        <v>2.4698333333333333</v>
      </c>
      <c r="AP58" s="16">
        <v>8.192499999999999</v>
      </c>
      <c r="AQ58" s="16">
        <v>78.745499999999993</v>
      </c>
      <c r="AR58" s="16">
        <v>98.809833333333316</v>
      </c>
      <c r="AS58" s="47">
        <v>0.21323469732896233</v>
      </c>
      <c r="AT58" s="16">
        <v>1.032410615039866E-2</v>
      </c>
      <c r="AU58" s="16">
        <v>3.4245322749365412E-2</v>
      </c>
      <c r="AV58" s="16">
        <v>0.329162656400385</v>
      </c>
      <c r="AW58" s="16">
        <v>0.41303321737088855</v>
      </c>
      <c r="AX58" s="47">
        <v>-69.313468305694997</v>
      </c>
      <c r="AY58" s="16">
        <v>-3.3559247786785633</v>
      </c>
      <c r="AZ58" s="16">
        <v>-11.131687866653941</v>
      </c>
      <c r="BA58" s="16">
        <v>-106.9966831740736</v>
      </c>
      <c r="BB58" s="16">
        <v>-134.25941078092947</v>
      </c>
      <c r="BC58" s="47">
        <v>1.5625805366679317</v>
      </c>
      <c r="BD58" s="16">
        <v>1.9837978987262443</v>
      </c>
      <c r="BE58" s="16">
        <v>1.9702102418856535</v>
      </c>
      <c r="BF58" s="16">
        <v>1.5489928798273411</v>
      </c>
      <c r="BG58" s="16">
        <v>1.657694134552067</v>
      </c>
      <c r="BH58" s="47">
        <v>0.35876568405907117</v>
      </c>
      <c r="BI58" s="16">
        <v>0.3587656840590715</v>
      </c>
      <c r="BJ58" s="16">
        <v>0.35876568405907144</v>
      </c>
      <c r="BK58" s="16">
        <v>0.35876568405907128</v>
      </c>
      <c r="BL58" s="16">
        <v>0.35876568405907139</v>
      </c>
      <c r="BM58" s="47">
        <v>1.5773544650615414</v>
      </c>
      <c r="BN58" s="16">
        <v>1.5773544650615419</v>
      </c>
      <c r="BO58" s="16">
        <v>1.5773544650615414</v>
      </c>
      <c r="BP58" s="16">
        <v>1.5773544650615416</v>
      </c>
      <c r="BQ58" s="16">
        <v>1.5773544650615419</v>
      </c>
      <c r="BT58" s="16">
        <v>-535.79355928973291</v>
      </c>
      <c r="BU58" s="47">
        <v>0.42262499999999997</v>
      </c>
      <c r="BV58" s="16">
        <v>61.25</v>
      </c>
      <c r="BW58" s="16">
        <v>233.02944000000002</v>
      </c>
      <c r="BX58" s="16">
        <v>82.213074999999989</v>
      </c>
      <c r="BY58" s="47">
        <v>1.1212736108186048E-3</v>
      </c>
      <c r="BZ58" s="16">
        <v>0.16250342185776884</v>
      </c>
      <c r="CA58" s="16">
        <v>0.61825439009958583</v>
      </c>
      <c r="CB58" s="16">
        <v>0.21812091443182671</v>
      </c>
      <c r="CC58" s="47">
        <v>0.60077117887815101</v>
      </c>
      <c r="CD58" s="16">
        <v>87.068286793934945</v>
      </c>
      <c r="CE58" s="16">
        <v>331.25672021796009</v>
      </c>
      <c r="CF58" s="16">
        <v>116.86778109895971</v>
      </c>
      <c r="CG58" s="47">
        <v>1.6347515071514311</v>
      </c>
      <c r="CH58" s="16">
        <v>0.99506613478782802</v>
      </c>
      <c r="CI58" s="16">
        <v>2.7293242554180419</v>
      </c>
      <c r="CJ58" s="16">
        <v>1.0519270567757038</v>
      </c>
      <c r="CK58" s="47">
        <v>0.42152304969689675</v>
      </c>
      <c r="CL58" s="16">
        <v>0.2965291697428164</v>
      </c>
      <c r="CM58" s="16">
        <v>0.29652916974281618</v>
      </c>
      <c r="CN58" s="16">
        <v>0.42152304969689697</v>
      </c>
      <c r="CO58" s="47">
        <v>1.0510030684509766</v>
      </c>
      <c r="CP58" s="16">
        <v>1.051003068450977</v>
      </c>
      <c r="CQ58" s="16">
        <v>1.0510030684509768</v>
      </c>
      <c r="CR58" s="16">
        <v>1.051003068450977</v>
      </c>
      <c r="CU58" s="16">
        <v>-126.00399671681524</v>
      </c>
      <c r="CV58" s="47">
        <v>13.779416666666668</v>
      </c>
      <c r="CW58" s="47">
        <v>3.7491890914995851</v>
      </c>
      <c r="CX58" s="47">
        <v>8.1443636378038669</v>
      </c>
      <c r="CY58" s="47">
        <v>9.1443636378038669</v>
      </c>
      <c r="DB58" s="16">
        <v>-108.89475818728594</v>
      </c>
      <c r="DC58" s="52">
        <v>3.9815268075790113</v>
      </c>
      <c r="DD58" s="47">
        <v>1.7270731558760353</v>
      </c>
      <c r="DE58" s="47">
        <v>2.7270731558760355</v>
      </c>
      <c r="DF58" s="47">
        <v>3.1657857343882747</v>
      </c>
      <c r="DI58" s="16">
        <v>-79.288211176072991</v>
      </c>
      <c r="DJ58" s="47">
        <v>41.333333333333336</v>
      </c>
      <c r="DK58" s="16">
        <v>25.234999999999999</v>
      </c>
      <c r="DL58" s="47">
        <v>0.62091585088004819</v>
      </c>
      <c r="DM58" s="16">
        <v>0.37908414911995197</v>
      </c>
      <c r="DN58" s="47">
        <v>-49.231307107148311</v>
      </c>
      <c r="DO58" s="16">
        <v>-30.056904068924698</v>
      </c>
      <c r="DP58" s="47">
        <v>1.4769392132144492</v>
      </c>
      <c r="DQ58" s="16">
        <v>3.6804372329295552</v>
      </c>
      <c r="DR58" s="47">
        <v>-0.16042583952982636</v>
      </c>
      <c r="DS58" s="16">
        <v>-0.16042583952982645</v>
      </c>
      <c r="DV58" s="16">
        <v>-82.692733377255962</v>
      </c>
      <c r="DW58" s="47">
        <v>2.7687299121849094</v>
      </c>
      <c r="DX58" s="47">
        <v>0.11603518508656704</v>
      </c>
      <c r="DY58" s="47">
        <v>-4.4390654443259403E-2</v>
      </c>
      <c r="DZ58" s="47">
        <v>1</v>
      </c>
    </row>
    <row r="59" spans="1:130" x14ac:dyDescent="0.35">
      <c r="A59" s="13">
        <v>44621</v>
      </c>
      <c r="B59" s="47">
        <v>-115.89572447964677</v>
      </c>
      <c r="C59" s="47">
        <v>38.513999999999996</v>
      </c>
      <c r="D59" s="16">
        <v>7.7746499999999985</v>
      </c>
      <c r="E59" s="16">
        <v>49.048433333333328</v>
      </c>
      <c r="F59" s="47">
        <v>0.40397711628476152</v>
      </c>
      <c r="G59" s="16">
        <v>8.154906494062733E-2</v>
      </c>
      <c r="H59" s="16">
        <v>0.51447381877461118</v>
      </c>
      <c r="I59" s="47">
        <v>-46.819220565020949</v>
      </c>
      <c r="J59" s="16">
        <v>-9.4511879619317671</v>
      </c>
      <c r="K59" s="16">
        <v>-59.625315952694059</v>
      </c>
      <c r="L59" s="47">
        <v>1.7869931513366777</v>
      </c>
      <c r="M59" s="16">
        <v>1.4223006714720494</v>
      </c>
      <c r="N59" s="16">
        <v>1.7991495673321651</v>
      </c>
      <c r="O59" s="47">
        <v>0.21564159954876036</v>
      </c>
      <c r="P59" s="16">
        <v>0.21564159954876025</v>
      </c>
      <c r="Q59" s="16">
        <v>0.21564159954876025</v>
      </c>
      <c r="R59" s="47">
        <v>1.3262906343395771</v>
      </c>
      <c r="S59" s="16">
        <v>1.3262906343395766</v>
      </c>
      <c r="T59" s="16">
        <v>1.3262906343395766</v>
      </c>
      <c r="V59" s="16">
        <v>-216.03913081352533</v>
      </c>
      <c r="W59" s="47">
        <v>107.5795</v>
      </c>
      <c r="X59" s="16">
        <v>66.777749999999997</v>
      </c>
      <c r="Y59" s="16">
        <v>61.345999999999997</v>
      </c>
      <c r="Z59" s="47">
        <v>0.45641924750719387</v>
      </c>
      <c r="AA59" s="16">
        <v>0.28331280964517885</v>
      </c>
      <c r="AB59" s="16">
        <v>0.26026794284762728</v>
      </c>
      <c r="AC59" s="47">
        <v>-98.604417518017456</v>
      </c>
      <c r="AD59" s="16">
        <v>-61.206653144082196</v>
      </c>
      <c r="AE59" s="16">
        <v>-56.228060151425687</v>
      </c>
      <c r="AF59" s="47">
        <v>1.3473616604602703</v>
      </c>
      <c r="AG59" s="16">
        <v>1.0723898930193991</v>
      </c>
      <c r="AH59" s="16">
        <v>1.3565273860416331</v>
      </c>
      <c r="AI59" s="47">
        <v>-9.1021099337081759E-2</v>
      </c>
      <c r="AJ59" s="16">
        <v>-9.1021099337081371E-2</v>
      </c>
      <c r="AK59" s="16">
        <v>-9.1021099337081385E-2</v>
      </c>
      <c r="AM59" s="16">
        <v>-352.68940172976659</v>
      </c>
      <c r="AN59" s="47">
        <v>51.899249999999995</v>
      </c>
      <c r="AO59" s="16">
        <v>2.4867500000000002</v>
      </c>
      <c r="AP59" s="16">
        <v>8.3620000000000001</v>
      </c>
      <c r="AQ59" s="16">
        <v>83.580749999999995</v>
      </c>
      <c r="AR59" s="16">
        <v>110.14866666666667</v>
      </c>
      <c r="AS59" s="47">
        <v>0.20235407340932224</v>
      </c>
      <c r="AT59" s="16">
        <v>9.6957854314008805E-3</v>
      </c>
      <c r="AU59" s="16">
        <v>3.2603260391022085E-2</v>
      </c>
      <c r="AV59" s="16">
        <v>0.32587956899389126</v>
      </c>
      <c r="AW59" s="16">
        <v>0.42946731177436354</v>
      </c>
      <c r="AX59" s="47">
        <v>-71.368137088315123</v>
      </c>
      <c r="AY59" s="16">
        <v>-3.4196007631009633</v>
      </c>
      <c r="AZ59" s="16">
        <v>-11.498824401749374</v>
      </c>
      <c r="BA59" s="16">
        <v>-114.9342702244097</v>
      </c>
      <c r="BB59" s="16">
        <v>-151.46856925219143</v>
      </c>
      <c r="BC59" s="47">
        <v>1.6089003288742845</v>
      </c>
      <c r="BD59" s="16">
        <v>2.0214388747394856</v>
      </c>
      <c r="BE59" s="16">
        <v>2.0351901596016591</v>
      </c>
      <c r="BF59" s="16">
        <v>1.6639054683229779</v>
      </c>
      <c r="BG59" s="16">
        <v>1.8701747412555787</v>
      </c>
      <c r="BH59" s="47">
        <v>0.37512848621733724</v>
      </c>
      <c r="BI59" s="16">
        <v>0.37512848621733713</v>
      </c>
      <c r="BJ59" s="16">
        <v>0.37512848621733724</v>
      </c>
      <c r="BK59" s="16">
        <v>0.37512848621733719</v>
      </c>
      <c r="BL59" s="16">
        <v>0.37512848621733719</v>
      </c>
      <c r="BM59" s="47">
        <v>1.5002941927625759</v>
      </c>
      <c r="BN59" s="16">
        <v>1.5002941927625764</v>
      </c>
      <c r="BO59" s="16">
        <v>1.5002941927625759</v>
      </c>
      <c r="BP59" s="16">
        <v>1.5002941927625761</v>
      </c>
      <c r="BQ59" s="16">
        <v>1.5002941927625761</v>
      </c>
      <c r="BT59" s="16">
        <v>-565.77500724444781</v>
      </c>
      <c r="BU59" s="47">
        <v>0.429975</v>
      </c>
      <c r="BV59" s="16">
        <v>63.875</v>
      </c>
      <c r="BW59" s="16">
        <v>281.57724000000002</v>
      </c>
      <c r="BX59" s="16">
        <v>102.21084999999999</v>
      </c>
      <c r="BY59" s="47">
        <v>9.5956629009645567E-4</v>
      </c>
      <c r="BZ59" s="16">
        <v>0.14254851277379174</v>
      </c>
      <c r="CA59" s="16">
        <v>0.62839008677806696</v>
      </c>
      <c r="CB59" s="16">
        <v>0.2281018341580448</v>
      </c>
      <c r="CC59" s="47">
        <v>0.54289862473085015</v>
      </c>
      <c r="CD59" s="16">
        <v>80.650385847277278</v>
      </c>
      <c r="CE59" s="16">
        <v>355.52740589920001</v>
      </c>
      <c r="CF59" s="16">
        <v>129.05431687323963</v>
      </c>
      <c r="CG59" s="47">
        <v>1.4772751693356467</v>
      </c>
      <c r="CH59" s="16">
        <v>0.92171869539745455</v>
      </c>
      <c r="CI59" s="16">
        <v>2.9292977716741024</v>
      </c>
      <c r="CJ59" s="16">
        <v>1.1616180818707649</v>
      </c>
      <c r="CK59" s="47">
        <v>0.26262834985952721</v>
      </c>
      <c r="CL59" s="16">
        <v>0.20800130924412191</v>
      </c>
      <c r="CM59" s="16">
        <v>0.20800130924412205</v>
      </c>
      <c r="CN59" s="16">
        <v>0.26262834985952699</v>
      </c>
      <c r="CO59" s="47">
        <v>1.0459521703084413</v>
      </c>
      <c r="CP59" s="16">
        <v>1.0459521703084409</v>
      </c>
      <c r="CQ59" s="16">
        <v>1.0459521703084411</v>
      </c>
      <c r="CR59" s="16">
        <v>1.0459521703084411</v>
      </c>
      <c r="CU59" s="16">
        <v>-163.58025904508327</v>
      </c>
      <c r="CV59" s="47">
        <v>15.123750000000001</v>
      </c>
      <c r="CW59" s="47">
        <v>4.8672529346417033</v>
      </c>
      <c r="CX59" s="47">
        <v>9.816117632537118</v>
      </c>
      <c r="CY59" s="47">
        <v>10.816117632537118</v>
      </c>
      <c r="DB59" s="16">
        <v>-109.60339355920365</v>
      </c>
      <c r="DC59" s="52">
        <v>4.0074366932067154</v>
      </c>
      <c r="DD59" s="47">
        <v>1.7261474103447045</v>
      </c>
      <c r="DE59" s="47">
        <v>2.7261474103447045</v>
      </c>
      <c r="DF59" s="47">
        <v>2.9742843445892175</v>
      </c>
      <c r="DI59" s="16">
        <v>-77.767578790797643</v>
      </c>
      <c r="DJ59" s="47">
        <v>41.333333333333336</v>
      </c>
      <c r="DK59" s="16">
        <v>25.561666666666667</v>
      </c>
      <c r="DL59" s="47">
        <v>0.61788374816254321</v>
      </c>
      <c r="DM59" s="16">
        <v>0.38211625183745668</v>
      </c>
      <c r="DN59" s="47">
        <v>-48.051323068783951</v>
      </c>
      <c r="DO59" s="16">
        <v>-29.716255722013688</v>
      </c>
      <c r="DP59" s="47">
        <v>1.4415396920635186</v>
      </c>
      <c r="DQ59" s="16">
        <v>3.6387251904506557</v>
      </c>
      <c r="DR59" s="47">
        <v>-0.13980863182131387</v>
      </c>
      <c r="DS59" s="16">
        <v>-0.13980863182131384</v>
      </c>
      <c r="DV59" s="16">
        <v>-99.404482514230082</v>
      </c>
      <c r="DW59" s="47">
        <v>3.3282750841818114</v>
      </c>
      <c r="DX59" s="47">
        <v>-5.9572925664752675E-2</v>
      </c>
      <c r="DY59" s="47">
        <v>-0.19938155748606651</v>
      </c>
      <c r="DZ59" s="47">
        <v>1</v>
      </c>
    </row>
    <row r="60" spans="1:130" x14ac:dyDescent="0.35">
      <c r="A60" s="13">
        <v>44652</v>
      </c>
      <c r="B60" s="47">
        <v>-98.190175096625339</v>
      </c>
      <c r="C60" s="47">
        <v>39.561999999999998</v>
      </c>
      <c r="D60" s="16">
        <v>8.2397999999999989</v>
      </c>
      <c r="E60" s="16">
        <v>51.368291666666664</v>
      </c>
      <c r="F60" s="47">
        <v>0.39893075961830227</v>
      </c>
      <c r="G60" s="16">
        <v>8.3087550505608579E-2</v>
      </c>
      <c r="H60" s="16">
        <v>0.51798168987608917</v>
      </c>
      <c r="I60" s="47">
        <v>-39.17108113835085</v>
      </c>
      <c r="J60" s="16">
        <v>-8.158381132495407</v>
      </c>
      <c r="K60" s="16">
        <v>-50.860712825779082</v>
      </c>
      <c r="L60" s="47">
        <v>1.4950794327614829</v>
      </c>
      <c r="M60" s="16">
        <v>1.2277473487577739</v>
      </c>
      <c r="N60" s="16">
        <v>1.5346841859472176</v>
      </c>
      <c r="O60" s="47">
        <v>-9.8811703566338352E-3</v>
      </c>
      <c r="P60" s="16">
        <v>-9.8811703566339323E-3</v>
      </c>
      <c r="Q60" s="16">
        <v>-9.8811703566338595E-3</v>
      </c>
      <c r="R60" s="47">
        <v>1.1280790252210382</v>
      </c>
      <c r="S60" s="16">
        <v>1.128079025221038</v>
      </c>
      <c r="T60" s="16">
        <v>1.1280790252210384</v>
      </c>
      <c r="V60" s="16">
        <v>-215.50018260274172</v>
      </c>
      <c r="W60" s="47">
        <v>110.50683333333335</v>
      </c>
      <c r="X60" s="16">
        <v>70.772999999999996</v>
      </c>
      <c r="Y60" s="16">
        <v>64.247500000000002</v>
      </c>
      <c r="Z60" s="47">
        <v>0.45007955665492783</v>
      </c>
      <c r="AA60" s="16">
        <v>0.28824896617077256</v>
      </c>
      <c r="AB60" s="16">
        <v>0.26167147717429967</v>
      </c>
      <c r="AC60" s="47">
        <v>-96.992226644897983</v>
      </c>
      <c r="AD60" s="16">
        <v>-62.117704844853009</v>
      </c>
      <c r="AE60" s="16">
        <v>-56.39025111299074</v>
      </c>
      <c r="AF60" s="47">
        <v>1.3253321791605279</v>
      </c>
      <c r="AG60" s="16">
        <v>1.0883522530854668</v>
      </c>
      <c r="AH60" s="16">
        <v>1.3604403163568333</v>
      </c>
      <c r="AI60" s="47">
        <v>-0.13933700829360501</v>
      </c>
      <c r="AJ60" s="16">
        <v>-0.13933700829360485</v>
      </c>
      <c r="AK60" s="16">
        <v>-0.13933700829360507</v>
      </c>
      <c r="AM60" s="16">
        <v>-309.82500385250273</v>
      </c>
      <c r="AN60" s="47">
        <v>55.004333333333328</v>
      </c>
      <c r="AO60" s="16">
        <v>2.554416666666667</v>
      </c>
      <c r="AP60" s="16">
        <v>8.7575000000000003</v>
      </c>
      <c r="AQ60" s="16">
        <v>85.653000000000006</v>
      </c>
      <c r="AR60" s="16">
        <v>109.33875</v>
      </c>
      <c r="AS60" s="47">
        <v>0.21049617054714487</v>
      </c>
      <c r="AT60" s="16">
        <v>9.7755011965445643E-3</v>
      </c>
      <c r="AU60" s="16">
        <v>3.3514090651644804E-2</v>
      </c>
      <c r="AV60" s="16">
        <v>0.32778560166546761</v>
      </c>
      <c r="AW60" s="16">
        <v>0.41842863593919821</v>
      </c>
      <c r="AX60" s="47">
        <v>-65.216976850706232</v>
      </c>
      <c r="AY60" s="16">
        <v>-3.0286946958795649</v>
      </c>
      <c r="AZ60" s="16">
        <v>-10.383503265258977</v>
      </c>
      <c r="BA60" s="16">
        <v>-101.55617529879842</v>
      </c>
      <c r="BB60" s="16">
        <v>-129.63965374185955</v>
      </c>
      <c r="BC60" s="47">
        <v>1.4702305508331297</v>
      </c>
      <c r="BD60" s="16">
        <v>1.790361396579053</v>
      </c>
      <c r="BE60" s="16">
        <v>1.837788188541412</v>
      </c>
      <c r="BF60" s="16">
        <v>1.4702305508331297</v>
      </c>
      <c r="BG60" s="16">
        <v>1.6006542287296166</v>
      </c>
      <c r="BH60" s="47">
        <v>0.18566979905897557</v>
      </c>
      <c r="BI60" s="16">
        <v>0.18566979905897552</v>
      </c>
      <c r="BJ60" s="16">
        <v>0.18566979905897546</v>
      </c>
      <c r="BK60" s="16">
        <v>0.18566979905897557</v>
      </c>
      <c r="BL60" s="16">
        <v>0.18566979905897518</v>
      </c>
      <c r="BM60" s="47">
        <v>1.3508774816839326</v>
      </c>
      <c r="BN60" s="16">
        <v>1.3508774816839328</v>
      </c>
      <c r="BO60" s="16">
        <v>1.3508774816839331</v>
      </c>
      <c r="BP60" s="16">
        <v>1.3508774816839331</v>
      </c>
      <c r="BQ60" s="16">
        <v>1.3508774816839326</v>
      </c>
      <c r="BT60" s="16">
        <v>-541.04133095726638</v>
      </c>
      <c r="BU60" s="47">
        <v>0.45569999999999999</v>
      </c>
      <c r="BV60" s="16">
        <v>65.625</v>
      </c>
      <c r="BW60" s="16">
        <v>273.08137500000004</v>
      </c>
      <c r="BX60" s="16">
        <v>101.09986249999999</v>
      </c>
      <c r="BY60" s="47">
        <v>1.0350656306735578E-3</v>
      </c>
      <c r="BZ60" s="16">
        <v>0.14905899059239025</v>
      </c>
      <c r="CA60" s="16">
        <v>0.62027023401267811</v>
      </c>
      <c r="CB60" s="16">
        <v>0.22963570976425821</v>
      </c>
      <c r="CC60" s="47">
        <v>0.56001328644774406</v>
      </c>
      <c r="CD60" s="16">
        <v>80.64707466125347</v>
      </c>
      <c r="CE60" s="16">
        <v>335.59183296339444</v>
      </c>
      <c r="CF60" s="16">
        <v>124.24241004617079</v>
      </c>
      <c r="CG60" s="47">
        <v>1.5238456774088274</v>
      </c>
      <c r="CH60" s="16">
        <v>0.9216808532714682</v>
      </c>
      <c r="CI60" s="16">
        <v>2.7650425598144048</v>
      </c>
      <c r="CJ60" s="16">
        <v>1.1183061019693812</v>
      </c>
      <c r="CK60" s="47">
        <v>0.22890780436195757</v>
      </c>
      <c r="CL60" s="16">
        <v>0.18626930641131806</v>
      </c>
      <c r="CM60" s="16">
        <v>0.18626930641131814</v>
      </c>
      <c r="CN60" s="16">
        <v>0.22890780436195729</v>
      </c>
      <c r="CO60" s="47">
        <v>1.1188335540306458</v>
      </c>
      <c r="CP60" s="16">
        <v>1.118833554030646</v>
      </c>
      <c r="CQ60" s="16">
        <v>1.118833554030646</v>
      </c>
      <c r="CR60" s="16">
        <v>1.1188335540306455</v>
      </c>
      <c r="CU60" s="16">
        <v>-138.11381268717355</v>
      </c>
      <c r="CV60" s="47">
        <v>13.107250000000001</v>
      </c>
      <c r="CW60" s="47">
        <v>4.1095109155618212</v>
      </c>
      <c r="CX60" s="47">
        <v>9.5372074757995406</v>
      </c>
      <c r="CY60" s="47">
        <v>10.537207475799541</v>
      </c>
      <c r="DB60" s="16">
        <v>-109.09788625258525</v>
      </c>
      <c r="DC60" s="52">
        <v>3.988953793513172</v>
      </c>
      <c r="DD60" s="47">
        <v>1.6416912539822333</v>
      </c>
      <c r="DE60" s="47">
        <v>2.6416912539822333</v>
      </c>
      <c r="DF60" s="47">
        <v>3.0097766101474996</v>
      </c>
      <c r="DI60" s="16">
        <v>-75.982014428269849</v>
      </c>
      <c r="DJ60" s="47">
        <v>41.333333333333336</v>
      </c>
      <c r="DK60" s="16">
        <v>26.378333333333334</v>
      </c>
      <c r="DL60" s="47">
        <v>0.61043148644989786</v>
      </c>
      <c r="DM60" s="16">
        <v>0.38956851355010214</v>
      </c>
      <c r="DN60" s="47">
        <v>-46.381814010906353</v>
      </c>
      <c r="DO60" s="16">
        <v>-29.600200417363499</v>
      </c>
      <c r="DP60" s="47">
        <v>1.3914544203271906</v>
      </c>
      <c r="DQ60" s="16">
        <v>3.6245143368200203</v>
      </c>
      <c r="DR60" s="47">
        <v>-0.10884612396543838</v>
      </c>
      <c r="DS60" s="16">
        <v>-0.1088461239654383</v>
      </c>
      <c r="DV60" s="16">
        <v>-88.153137605712146</v>
      </c>
      <c r="DW60" s="47">
        <v>2.9515559466198265</v>
      </c>
      <c r="DX60" s="47">
        <v>9.4338057084451518E-2</v>
      </c>
      <c r="DY60" s="47">
        <v>-1.4508066880986784E-2</v>
      </c>
      <c r="DZ60" s="47">
        <v>1</v>
      </c>
    </row>
    <row r="61" spans="1:130" x14ac:dyDescent="0.35">
      <c r="A61" s="13">
        <v>44682</v>
      </c>
      <c r="B61" s="47">
        <v>-94.429382240743323</v>
      </c>
      <c r="C61" s="47">
        <v>39.037999999999997</v>
      </c>
      <c r="D61" s="16">
        <v>8.8378499999999995</v>
      </c>
      <c r="E61" s="16">
        <v>50.042658333333328</v>
      </c>
      <c r="F61" s="47">
        <v>0.39867845889877301</v>
      </c>
      <c r="G61" s="16">
        <v>9.0257196013589863E-2</v>
      </c>
      <c r="H61" s="16">
        <v>0.51106434508763698</v>
      </c>
      <c r="I61" s="47">
        <v>-37.646960586502715</v>
      </c>
      <c r="J61" s="16">
        <v>-8.5229312623449722</v>
      </c>
      <c r="K61" s="16">
        <v>-48.259490391895625</v>
      </c>
      <c r="L61" s="47">
        <v>1.4369068926146076</v>
      </c>
      <c r="M61" s="16">
        <v>1.2826081658908912</v>
      </c>
      <c r="N61" s="16">
        <v>1.4561942334550717</v>
      </c>
      <c r="O61" s="47">
        <v>-3.5632957976773433E-2</v>
      </c>
      <c r="P61" s="16">
        <v>-3.5632957976773572E-2</v>
      </c>
      <c r="Q61" s="16">
        <v>-3.563295797677371E-2</v>
      </c>
      <c r="R61" s="47">
        <v>1.1429372187194036</v>
      </c>
      <c r="S61" s="16">
        <v>1.1429372187194033</v>
      </c>
      <c r="T61" s="16">
        <v>1.1429372187194033</v>
      </c>
      <c r="V61" s="16">
        <v>-208.86689507196957</v>
      </c>
      <c r="W61" s="47">
        <v>109.04316666666666</v>
      </c>
      <c r="X61" s="16">
        <v>75.909750000000003</v>
      </c>
      <c r="Y61" s="16">
        <v>62.589499999999994</v>
      </c>
      <c r="Z61" s="47">
        <v>0.44050295757393765</v>
      </c>
      <c r="AA61" s="16">
        <v>0.30665350618362042</v>
      </c>
      <c r="AB61" s="16">
        <v>0.25284353624244194</v>
      </c>
      <c r="AC61" s="47">
        <v>-92.006485018487894</v>
      </c>
      <c r="AD61" s="16">
        <v>-64.049765699505812</v>
      </c>
      <c r="AE61" s="16">
        <v>-52.810644353975853</v>
      </c>
      <c r="AF61" s="47">
        <v>1.257205443204116</v>
      </c>
      <c r="AG61" s="16">
        <v>1.1222035164170969</v>
      </c>
      <c r="AH61" s="16">
        <v>1.2740806840524934</v>
      </c>
      <c r="AI61" s="47">
        <v>-0.18516826987527463</v>
      </c>
      <c r="AJ61" s="16">
        <v>-0.1851682698752746</v>
      </c>
      <c r="AK61" s="16">
        <v>-0.18516826987527463</v>
      </c>
      <c r="AM61" s="16">
        <v>-302.83219836334541</v>
      </c>
      <c r="AN61" s="47">
        <v>58.996583333333326</v>
      </c>
      <c r="AO61" s="16">
        <v>2.5205833333333332</v>
      </c>
      <c r="AP61" s="16">
        <v>8.5314999999999994</v>
      </c>
      <c r="AQ61" s="16">
        <v>81.508499999999998</v>
      </c>
      <c r="AR61" s="16">
        <v>111.76849999999997</v>
      </c>
      <c r="AS61" s="47">
        <v>0.22404418103311871</v>
      </c>
      <c r="AT61" s="16">
        <v>9.5721141248416106E-3</v>
      </c>
      <c r="AU61" s="16">
        <v>3.2399044529144522E-2</v>
      </c>
      <c r="AV61" s="16">
        <v>0.3095349611444384</v>
      </c>
      <c r="AW61" s="16">
        <v>0.42444969916845676</v>
      </c>
      <c r="AX61" s="47">
        <v>-67.847791872774678</v>
      </c>
      <c r="AY61" s="16">
        <v>-2.8987443634106151</v>
      </c>
      <c r="AZ61" s="16">
        <v>-9.8114738796327554</v>
      </c>
      <c r="BA61" s="16">
        <v>-93.737152753682992</v>
      </c>
      <c r="BB61" s="16">
        <v>-128.53703549384437</v>
      </c>
      <c r="BC61" s="47">
        <v>1.5295387985596398</v>
      </c>
      <c r="BD61" s="16">
        <v>1.713543466055536</v>
      </c>
      <c r="BE61" s="16">
        <v>1.7365440494925233</v>
      </c>
      <c r="BF61" s="16">
        <v>1.3570344227822366</v>
      </c>
      <c r="BG61" s="16">
        <v>1.5870402571521067</v>
      </c>
      <c r="BH61" s="47">
        <v>0.15002917184935319</v>
      </c>
      <c r="BI61" s="16">
        <v>0.15002917184935302</v>
      </c>
      <c r="BJ61" s="16">
        <v>0.15002917184935316</v>
      </c>
      <c r="BK61" s="16">
        <v>0.15002917184935313</v>
      </c>
      <c r="BL61" s="16">
        <v>0.1500291718493528</v>
      </c>
      <c r="BM61" s="47">
        <v>1.3629780839067929</v>
      </c>
      <c r="BN61" s="16">
        <v>1.3629780839067926</v>
      </c>
      <c r="BO61" s="16">
        <v>1.3629780839067926</v>
      </c>
      <c r="BP61" s="16">
        <v>1.3629780839067926</v>
      </c>
      <c r="BQ61" s="16">
        <v>1.3629780839067922</v>
      </c>
      <c r="BT61" s="16">
        <v>-514.24841666300006</v>
      </c>
      <c r="BU61" s="47">
        <v>0.48877500000000002</v>
      </c>
      <c r="BV61" s="16">
        <v>63.875</v>
      </c>
      <c r="BW61" s="16">
        <v>260.94442500000002</v>
      </c>
      <c r="BX61" s="16">
        <v>105.54381249999999</v>
      </c>
      <c r="BY61" s="47">
        <v>1.1344382428757948E-3</v>
      </c>
      <c r="BZ61" s="16">
        <v>0.14825275998913895</v>
      </c>
      <c r="CA61" s="16">
        <v>0.60564745534291775</v>
      </c>
      <c r="CB61" s="16">
        <v>0.2449653464250674</v>
      </c>
      <c r="CC61" s="47">
        <v>0.58338307020083335</v>
      </c>
      <c r="CD61" s="16">
        <v>76.238747090334471</v>
      </c>
      <c r="CE61" s="16">
        <v>311.45324496607049</v>
      </c>
      <c r="CF61" s="16">
        <v>125.97304153639421</v>
      </c>
      <c r="CG61" s="47">
        <v>1.587436925716553</v>
      </c>
      <c r="CH61" s="16">
        <v>0.87129996674667964</v>
      </c>
      <c r="CI61" s="16">
        <v>2.5661574363087141</v>
      </c>
      <c r="CJ61" s="16">
        <v>1.1338835183689664</v>
      </c>
      <c r="CK61" s="47">
        <v>0.19356159828312253</v>
      </c>
      <c r="CL61" s="16">
        <v>0.16217143594561961</v>
      </c>
      <c r="CM61" s="16">
        <v>0.16217143594561964</v>
      </c>
      <c r="CN61" s="16">
        <v>0.19356159828312258</v>
      </c>
      <c r="CO61" s="47">
        <v>1.1835436438137366</v>
      </c>
      <c r="CP61" s="16">
        <v>1.1835436438137368</v>
      </c>
      <c r="CQ61" s="16">
        <v>1.1835436438137368</v>
      </c>
      <c r="CR61" s="16">
        <v>1.1835436438137363</v>
      </c>
      <c r="CU61" s="16">
        <v>-130.61735354409353</v>
      </c>
      <c r="CV61" s="47">
        <v>12.771166666666668</v>
      </c>
      <c r="CW61" s="47">
        <v>3.886457333322892</v>
      </c>
      <c r="CX61" s="47">
        <v>9.2275192982181373</v>
      </c>
      <c r="CY61" s="47">
        <v>10.227519298218137</v>
      </c>
      <c r="DB61" s="16">
        <v>-108.95818449929827</v>
      </c>
      <c r="DC61" s="52">
        <v>3.9838458683472862</v>
      </c>
      <c r="DD61" s="47">
        <v>1.6737220592934805</v>
      </c>
      <c r="DE61" s="47">
        <v>2.6737220592934805</v>
      </c>
      <c r="DF61" s="47">
        <v>3.168810547140211</v>
      </c>
      <c r="DI61" s="16">
        <v>-72.930803420921706</v>
      </c>
      <c r="DJ61" s="47">
        <v>41.666666666666664</v>
      </c>
      <c r="DK61" s="16">
        <v>26.541666666666668</v>
      </c>
      <c r="DL61" s="47">
        <v>0.61087354917532066</v>
      </c>
      <c r="DM61" s="16">
        <v>0.38912645082467934</v>
      </c>
      <c r="DN61" s="47">
        <v>-44.551498729946061</v>
      </c>
      <c r="DO61" s="16">
        <v>-28.379304690975644</v>
      </c>
      <c r="DP61" s="47">
        <v>1.3365449618983818</v>
      </c>
      <c r="DQ61" s="16">
        <v>3.4750169009357932</v>
      </c>
      <c r="DR61" s="47">
        <v>-6.4752750087401736E-2</v>
      </c>
      <c r="DS61" s="16">
        <v>-6.4752750087401875E-2</v>
      </c>
      <c r="DV61" s="16">
        <v>-85.253397337667778</v>
      </c>
      <c r="DW61" s="47">
        <v>2.8544664287165551</v>
      </c>
      <c r="DX61" s="47">
        <v>0.13856655215990313</v>
      </c>
      <c r="DY61" s="47">
        <v>7.3813802072501253E-2</v>
      </c>
      <c r="DZ61" s="47">
        <v>1</v>
      </c>
    </row>
    <row r="62" spans="1:130" x14ac:dyDescent="0.35">
      <c r="A62" s="13">
        <v>44713</v>
      </c>
      <c r="B62" s="47">
        <v>-99.018300122372082</v>
      </c>
      <c r="C62" s="47">
        <v>38.775999999999996</v>
      </c>
      <c r="D62" s="16">
        <v>9.0372000000000003</v>
      </c>
      <c r="E62" s="16">
        <v>50.042658333333328</v>
      </c>
      <c r="F62" s="47">
        <v>0.39625629635698018</v>
      </c>
      <c r="G62" s="16">
        <v>9.2352161167663038E-2</v>
      </c>
      <c r="H62" s="16">
        <v>0.5113915424753569</v>
      </c>
      <c r="I62" s="47">
        <v>-39.236624878055075</v>
      </c>
      <c r="J62" s="16">
        <v>-9.1445540114493351</v>
      </c>
      <c r="K62" s="16">
        <v>-50.637121232867678</v>
      </c>
      <c r="L62" s="47">
        <v>1.4975811022158427</v>
      </c>
      <c r="M62" s="16">
        <v>1.3761556074415855</v>
      </c>
      <c r="N62" s="16">
        <v>1.5279374759094073</v>
      </c>
      <c r="O62" s="47">
        <v>1.1879123118812668E-2</v>
      </c>
      <c r="P62" s="16">
        <v>1.187912311881279E-2</v>
      </c>
      <c r="Q62" s="16">
        <v>1.1879123118812786E-2</v>
      </c>
      <c r="R62" s="47">
        <v>1.1904437123002369</v>
      </c>
      <c r="S62" s="16">
        <v>1.1904437123002372</v>
      </c>
      <c r="T62" s="16">
        <v>1.1904437123002374</v>
      </c>
      <c r="V62" s="16">
        <v>-211.24481911238206</v>
      </c>
      <c r="W62" s="47">
        <v>108.31133333333334</v>
      </c>
      <c r="X62" s="16">
        <v>77.622</v>
      </c>
      <c r="Y62" s="16">
        <v>62.589499999999994</v>
      </c>
      <c r="Z62" s="47">
        <v>0.43582045110543166</v>
      </c>
      <c r="AA62" s="16">
        <v>0.31233347438900649</v>
      </c>
      <c r="AB62" s="16">
        <v>0.25184607450556185</v>
      </c>
      <c r="AC62" s="47">
        <v>-92.06481235924366</v>
      </c>
      <c r="AD62" s="16">
        <v>-65.978828300047496</v>
      </c>
      <c r="AE62" s="16">
        <v>-53.201178453090904</v>
      </c>
      <c r="AF62" s="47">
        <v>1.2580024462661397</v>
      </c>
      <c r="AG62" s="16">
        <v>1.1560022479202365</v>
      </c>
      <c r="AH62" s="16">
        <v>1.2835024958526153</v>
      </c>
      <c r="AI62" s="47">
        <v>-0.17646830051306203</v>
      </c>
      <c r="AJ62" s="16">
        <v>-0.17646830051306206</v>
      </c>
      <c r="AK62" s="16">
        <v>-0.1764683005130622</v>
      </c>
      <c r="AM62" s="16">
        <v>-309.67459597501119</v>
      </c>
      <c r="AN62" s="47">
        <v>60.327333333333335</v>
      </c>
      <c r="AO62" s="16">
        <v>2.5036666666666667</v>
      </c>
      <c r="AP62" s="16">
        <v>8.5314999999999994</v>
      </c>
      <c r="AQ62" s="16">
        <v>80.81774999999999</v>
      </c>
      <c r="AR62" s="16">
        <v>136.066</v>
      </c>
      <c r="AS62" s="47">
        <v>0.20929095637266168</v>
      </c>
      <c r="AT62" s="16">
        <v>8.6858603248669026E-3</v>
      </c>
      <c r="AU62" s="16">
        <v>2.9597956608281975E-2</v>
      </c>
      <c r="AV62" s="16">
        <v>0.2803774550406119</v>
      </c>
      <c r="AW62" s="16">
        <v>0.47204777165357742</v>
      </c>
      <c r="AX62" s="47">
        <v>-64.812092355927703</v>
      </c>
      <c r="AY62" s="16">
        <v>-2.6897902867985373</v>
      </c>
      <c r="AZ62" s="16">
        <v>-9.1657352543556332</v>
      </c>
      <c r="BA62" s="16">
        <v>-86.825775110203352</v>
      </c>
      <c r="BB62" s="16">
        <v>-146.18120296772594</v>
      </c>
      <c r="BC62" s="47">
        <v>1.4611029650030669</v>
      </c>
      <c r="BD62" s="16">
        <v>1.590023814856278</v>
      </c>
      <c r="BE62" s="16">
        <v>1.6222540273195811</v>
      </c>
      <c r="BF62" s="16">
        <v>1.2569782860688143</v>
      </c>
      <c r="BG62" s="16">
        <v>1.8048918979449649</v>
      </c>
      <c r="BH62" s="47">
        <v>7.4340415443431479E-2</v>
      </c>
      <c r="BI62" s="16">
        <v>7.4340415443431077E-2</v>
      </c>
      <c r="BJ62" s="16">
        <v>7.4340415443431201E-2</v>
      </c>
      <c r="BK62" s="16">
        <v>7.4340415443431132E-2</v>
      </c>
      <c r="BL62" s="16">
        <v>7.4340415443431493E-2</v>
      </c>
      <c r="BM62" s="47">
        <v>1.2639274427292309</v>
      </c>
      <c r="BN62" s="16">
        <v>1.2639274427292304</v>
      </c>
      <c r="BO62" s="16">
        <v>1.2639274427292309</v>
      </c>
      <c r="BP62" s="16">
        <v>1.2639274427292304</v>
      </c>
      <c r="BQ62" s="16">
        <v>1.2639274427292309</v>
      </c>
      <c r="BT62" s="16">
        <v>-482.61461648671593</v>
      </c>
      <c r="BU62" s="47">
        <v>0.49980000000000002</v>
      </c>
      <c r="BV62" s="16">
        <v>63.875</v>
      </c>
      <c r="BW62" s="16">
        <v>267.01290000000006</v>
      </c>
      <c r="BX62" s="16">
        <v>119.98665</v>
      </c>
      <c r="BY62" s="47">
        <v>1.1072848955639592E-3</v>
      </c>
      <c r="BZ62" s="16">
        <v>0.14151225030841916</v>
      </c>
      <c r="CA62" s="16">
        <v>0.59155532431118429</v>
      </c>
      <c r="CB62" s="16">
        <v>0.26582514048483258</v>
      </c>
      <c r="CC62" s="47">
        <v>0.53439187521413345</v>
      </c>
      <c r="CD62" s="16">
        <v>68.295880410769854</v>
      </c>
      <c r="CE62" s="16">
        <v>285.4932459731171</v>
      </c>
      <c r="CF62" s="16">
        <v>128.29109822761487</v>
      </c>
      <c r="CG62" s="47">
        <v>1.4541275516030843</v>
      </c>
      <c r="CH62" s="16">
        <v>0.78052434755165545</v>
      </c>
      <c r="CI62" s="16">
        <v>2.3522651570049895</v>
      </c>
      <c r="CJ62" s="16">
        <v>1.1547483498024493</v>
      </c>
      <c r="CK62" s="47">
        <v>6.9211435002267771E-2</v>
      </c>
      <c r="CL62" s="16">
        <v>6.4731289562125732E-2</v>
      </c>
      <c r="CM62" s="16">
        <v>6.4731289562125816E-2</v>
      </c>
      <c r="CN62" s="16">
        <v>6.921143500226784E-2</v>
      </c>
      <c r="CO62" s="47">
        <v>1.1838917020889093</v>
      </c>
      <c r="CP62" s="16">
        <v>1.1838917020889093</v>
      </c>
      <c r="CQ62" s="16">
        <v>1.1838917020889093</v>
      </c>
      <c r="CR62" s="16">
        <v>1.1838917020889093</v>
      </c>
      <c r="CU62" s="16">
        <v>-141.54244347473389</v>
      </c>
      <c r="CV62" s="47">
        <v>13.107250000000001</v>
      </c>
      <c r="CW62" s="47">
        <v>4.2115281966199021</v>
      </c>
      <c r="CX62" s="47">
        <v>9.7987902477433373</v>
      </c>
      <c r="CY62" s="47">
        <v>10.798790247743337</v>
      </c>
      <c r="DB62" s="16">
        <v>-109.16951029314043</v>
      </c>
      <c r="DC62" s="52">
        <v>3.9915725884146411</v>
      </c>
      <c r="DD62" s="47">
        <v>1.6970085056855684</v>
      </c>
      <c r="DE62" s="47">
        <v>2.6970085056855684</v>
      </c>
      <c r="DF62" s="47">
        <v>3.1729450131531736</v>
      </c>
      <c r="DI62" s="16">
        <v>-72.819817656178074</v>
      </c>
      <c r="DJ62" s="47">
        <v>40.333333333333336</v>
      </c>
      <c r="DK62" s="16">
        <v>27.929999999999996</v>
      </c>
      <c r="DL62" s="47">
        <v>0.59084916255676545</v>
      </c>
      <c r="DM62" s="16">
        <v>0.40915083744323444</v>
      </c>
      <c r="DN62" s="47">
        <v>-43.025528279689176</v>
      </c>
      <c r="DO62" s="16">
        <v>-29.794289376488887</v>
      </c>
      <c r="DP62" s="47">
        <v>1.2907658483906752</v>
      </c>
      <c r="DQ62" s="16">
        <v>3.6482803318149659</v>
      </c>
      <c r="DR62" s="47">
        <v>-6.257203697430791E-2</v>
      </c>
      <c r="DS62" s="16">
        <v>-6.2572036974307799E-2</v>
      </c>
      <c r="DV62" s="16">
        <v>-93.363566730132263</v>
      </c>
      <c r="DW62" s="47">
        <v>3.1260122789106783</v>
      </c>
      <c r="DX62" s="47">
        <v>9.4045606625629607E-2</v>
      </c>
      <c r="DY62" s="47">
        <v>3.1473569651321809E-2</v>
      </c>
      <c r="DZ62" s="47">
        <v>1</v>
      </c>
    </row>
    <row r="63" spans="1:130" x14ac:dyDescent="0.35">
      <c r="A63" s="13">
        <v>44743</v>
      </c>
      <c r="B63" s="47">
        <v>-105.99302370664263</v>
      </c>
      <c r="C63" s="47">
        <v>36.417999999999999</v>
      </c>
      <c r="D63" s="16">
        <v>8.7713999999999999</v>
      </c>
      <c r="E63" s="16">
        <v>45.734349999999999</v>
      </c>
      <c r="F63" s="47">
        <v>0.4005334139869946</v>
      </c>
      <c r="G63" s="16">
        <v>9.6469844237616689E-2</v>
      </c>
      <c r="H63" s="16">
        <v>0.50299674177538867</v>
      </c>
      <c r="I63" s="47">
        <v>-42.453747644026024</v>
      </c>
      <c r="J63" s="16">
        <v>-10.225130487253828</v>
      </c>
      <c r="K63" s="16">
        <v>-53.314145575362772</v>
      </c>
      <c r="L63" s="47">
        <v>1.6203720474819097</v>
      </c>
      <c r="M63" s="16">
        <v>1.538770577464835</v>
      </c>
      <c r="N63" s="16">
        <v>1.608714694622327</v>
      </c>
      <c r="O63" s="47">
        <v>0.16573528595820847</v>
      </c>
      <c r="P63" s="16">
        <v>0.1657352859582083</v>
      </c>
      <c r="Q63" s="16">
        <v>0.16573528595820805</v>
      </c>
      <c r="R63" s="47">
        <v>1.2370560370475949</v>
      </c>
      <c r="S63" s="16">
        <v>1.2370560370475945</v>
      </c>
      <c r="T63" s="16">
        <v>1.2370560370475943</v>
      </c>
      <c r="V63" s="16">
        <v>-220.75861909017013</v>
      </c>
      <c r="W63" s="47">
        <v>101.72483333333332</v>
      </c>
      <c r="X63" s="16">
        <v>75.338999999999999</v>
      </c>
      <c r="Y63" s="16">
        <v>57.200999999999993</v>
      </c>
      <c r="Z63" s="47">
        <v>0.43423006298427208</v>
      </c>
      <c r="AA63" s="16">
        <v>0.32159756514884508</v>
      </c>
      <c r="AB63" s="16">
        <v>0.24417237186688284</v>
      </c>
      <c r="AC63" s="47">
        <v>-95.860029071845503</v>
      </c>
      <c r="AD63" s="16">
        <v>-70.995434385020062</v>
      </c>
      <c r="AE63" s="16">
        <v>-53.903155633304564</v>
      </c>
      <c r="AF63" s="47">
        <v>1.3098614767275631</v>
      </c>
      <c r="AG63" s="16">
        <v>1.2438972296981177</v>
      </c>
      <c r="AH63" s="16">
        <v>1.3004380128662139</v>
      </c>
      <c r="AI63" s="47">
        <v>-6.1180914696909353E-2</v>
      </c>
      <c r="AJ63" s="16">
        <v>-6.1180914696909353E-2</v>
      </c>
      <c r="AK63" s="16">
        <v>-6.1180914696909276E-2</v>
      </c>
      <c r="AM63" s="16">
        <v>-292.99738714081843</v>
      </c>
      <c r="AN63" s="47">
        <v>58.552999999999997</v>
      </c>
      <c r="AO63" s="16">
        <v>2.3514166666666667</v>
      </c>
      <c r="AP63" s="16">
        <v>7.7969999999999997</v>
      </c>
      <c r="AQ63" s="16">
        <v>79.436249999999987</v>
      </c>
      <c r="AR63" s="16">
        <v>124.72716666666668</v>
      </c>
      <c r="AS63" s="47">
        <v>0.21458609848954521</v>
      </c>
      <c r="AT63" s="16">
        <v>8.6175145325310641E-3</v>
      </c>
      <c r="AU63" s="16">
        <v>2.8574587295663482E-2</v>
      </c>
      <c r="AV63" s="16">
        <v>0.29111941260294322</v>
      </c>
      <c r="AW63" s="16">
        <v>0.45710238707931711</v>
      </c>
      <c r="AX63" s="47">
        <v>-62.873166174179069</v>
      </c>
      <c r="AY63" s="16">
        <v>-2.5249092416796333</v>
      </c>
      <c r="AZ63" s="16">
        <v>-8.3722794162566245</v>
      </c>
      <c r="BA63" s="16">
        <v>-85.297227238632217</v>
      </c>
      <c r="BB63" s="16">
        <v>-133.92980507007093</v>
      </c>
      <c r="BC63" s="47">
        <v>1.4173924367652619</v>
      </c>
      <c r="BD63" s="16">
        <v>1.4925571871997831</v>
      </c>
      <c r="BE63" s="16">
        <v>1.4818193657091372</v>
      </c>
      <c r="BF63" s="16">
        <v>1.2348494714242813</v>
      </c>
      <c r="BG63" s="16">
        <v>1.6536245095594724</v>
      </c>
      <c r="BH63" s="47">
        <v>7.3782149064592337E-2</v>
      </c>
      <c r="BI63" s="16">
        <v>7.3782149064592267E-2</v>
      </c>
      <c r="BJ63" s="16">
        <v>7.3782149064592253E-2</v>
      </c>
      <c r="BK63" s="16">
        <v>7.3782149064592475E-2</v>
      </c>
      <c r="BL63" s="16">
        <v>7.3782149064592434E-2</v>
      </c>
      <c r="BM63" s="47">
        <v>1.1394771231295773</v>
      </c>
      <c r="BN63" s="16">
        <v>1.1394771231295771</v>
      </c>
      <c r="BO63" s="16">
        <v>1.1394771231295771</v>
      </c>
      <c r="BP63" s="16">
        <v>1.1394771231295773</v>
      </c>
      <c r="BQ63" s="16">
        <v>1.1394771231295773</v>
      </c>
      <c r="BT63" s="16">
        <v>-462.53552189096899</v>
      </c>
      <c r="BU63" s="47">
        <v>0.48510000000000003</v>
      </c>
      <c r="BV63" s="16">
        <v>63.875</v>
      </c>
      <c r="BW63" s="16">
        <v>256.08964500000002</v>
      </c>
      <c r="BX63" s="16">
        <v>108.87677499999999</v>
      </c>
      <c r="BY63" s="47">
        <v>1.1299092355161289E-3</v>
      </c>
      <c r="BZ63" s="16">
        <v>0.14877953497957686</v>
      </c>
      <c r="CA63" s="16">
        <v>0.59649155845299284</v>
      </c>
      <c r="CB63" s="16">
        <v>0.25359899733191416</v>
      </c>
      <c r="CC63" s="47">
        <v>0.52262315793887848</v>
      </c>
      <c r="CD63" s="16">
        <v>68.815819858474256</v>
      </c>
      <c r="CE63" s="16">
        <v>275.89853429261251</v>
      </c>
      <c r="CF63" s="16">
        <v>117.29854458194336</v>
      </c>
      <c r="CG63" s="47">
        <v>1.4221038311261998</v>
      </c>
      <c r="CH63" s="16">
        <v>0.78646651266827727</v>
      </c>
      <c r="CI63" s="16">
        <v>2.2732114270274861</v>
      </c>
      <c r="CJ63" s="16">
        <v>1.0558043594724817</v>
      </c>
      <c r="CK63" s="47">
        <v>7.7351387216817946E-2</v>
      </c>
      <c r="CL63" s="16">
        <v>7.1797732972381789E-2</v>
      </c>
      <c r="CM63" s="16">
        <v>7.179773297238172E-2</v>
      </c>
      <c r="CN63" s="16">
        <v>7.7351387216818127E-2</v>
      </c>
      <c r="CO63" s="47">
        <v>1.0599301062155431</v>
      </c>
      <c r="CP63" s="16">
        <v>1.0599301062155433</v>
      </c>
      <c r="CQ63" s="16">
        <v>1.0599301062155431</v>
      </c>
      <c r="CR63" s="16">
        <v>1.0599301062155433</v>
      </c>
      <c r="CU63" s="16">
        <v>-185.14534541973592</v>
      </c>
      <c r="CV63" s="47">
        <v>12.435083333333333</v>
      </c>
      <c r="CW63" s="47">
        <v>5.5089118399127965</v>
      </c>
      <c r="CX63" s="47">
        <v>13.888950918683234</v>
      </c>
      <c r="CY63" s="47">
        <v>14.888950918683234</v>
      </c>
      <c r="DB63" s="16">
        <v>-109.93834613791392</v>
      </c>
      <c r="DC63" s="52">
        <v>4.0196835882235433</v>
      </c>
      <c r="DD63" s="47">
        <v>1.8918586965637005</v>
      </c>
      <c r="DE63" s="47">
        <v>2.8918586965637005</v>
      </c>
      <c r="DF63" s="47">
        <v>3.0687852567936797</v>
      </c>
      <c r="DI63" s="16">
        <v>-70.910230131454895</v>
      </c>
      <c r="DJ63" s="47">
        <v>37.000000000000007</v>
      </c>
      <c r="DK63" s="16">
        <v>28.91</v>
      </c>
      <c r="DL63" s="47">
        <v>0.56137156728872706</v>
      </c>
      <c r="DM63" s="16">
        <v>0.43862843271127289</v>
      </c>
      <c r="DN63" s="47">
        <v>-39.806987025699151</v>
      </c>
      <c r="DO63" s="16">
        <v>-31.103243105755737</v>
      </c>
      <c r="DP63" s="47">
        <v>1.1942096107709745</v>
      </c>
      <c r="DQ63" s="16">
        <v>3.8085603802966208</v>
      </c>
      <c r="DR63" s="47">
        <v>-7.0514933066573818E-2</v>
      </c>
      <c r="DS63" s="16">
        <v>-7.0514933066573721E-2</v>
      </c>
      <c r="DV63" s="16">
        <v>-118.7201801707415</v>
      </c>
      <c r="DW63" s="47">
        <v>3.9750060325025061</v>
      </c>
      <c r="DX63" s="47">
        <v>-0.10943531379464184</v>
      </c>
      <c r="DY63" s="47">
        <v>-0.17995024686121558</v>
      </c>
      <c r="DZ63" s="47">
        <v>1</v>
      </c>
    </row>
    <row r="64" spans="1:130" x14ac:dyDescent="0.35">
      <c r="A64" s="13">
        <v>44774</v>
      </c>
      <c r="B64" s="47">
        <v>-117.3817048857459</v>
      </c>
      <c r="C64" s="47">
        <v>34.845999999999997</v>
      </c>
      <c r="D64" s="16">
        <v>8.0404499999999981</v>
      </c>
      <c r="E64" s="16">
        <v>42.42026666666667</v>
      </c>
      <c r="F64" s="47">
        <v>0.40847897283586304</v>
      </c>
      <c r="G64" s="16">
        <v>9.4253422405386977E-2</v>
      </c>
      <c r="H64" s="16">
        <v>0.49726760475875004</v>
      </c>
      <c r="I64" s="47">
        <v>-47.947958241451893</v>
      </c>
      <c r="J64" s="16">
        <v>-11.063627413260685</v>
      </c>
      <c r="K64" s="16">
        <v>-58.370119231033335</v>
      </c>
      <c r="L64" s="47">
        <v>1.8300747420401486</v>
      </c>
      <c r="M64" s="16">
        <v>1.6649552164425412</v>
      </c>
      <c r="N64" s="16">
        <v>1.7612749397078127</v>
      </c>
      <c r="O64" s="47">
        <v>0.3759960466467282</v>
      </c>
      <c r="P64" s="16">
        <v>0.37599604664672831</v>
      </c>
      <c r="Q64" s="16">
        <v>0.37599604664672864</v>
      </c>
      <c r="R64" s="47">
        <v>1.3365654287614996</v>
      </c>
      <c r="S64" s="16">
        <v>1.3365654287614996</v>
      </c>
      <c r="T64" s="16">
        <v>1.3365654287615001</v>
      </c>
      <c r="V64" s="16">
        <v>-225.92469369852913</v>
      </c>
      <c r="W64" s="47">
        <v>97.333833333333345</v>
      </c>
      <c r="X64" s="16">
        <v>69.060749999999999</v>
      </c>
      <c r="Y64" s="16">
        <v>53.056000000000004</v>
      </c>
      <c r="Z64" s="47">
        <v>0.44353417455030691</v>
      </c>
      <c r="AA64" s="16">
        <v>0.31469841160139694</v>
      </c>
      <c r="AB64" s="16">
        <v>0.24176741384829614</v>
      </c>
      <c r="AC64" s="47">
        <v>-100.20532253010805</v>
      </c>
      <c r="AD64" s="16">
        <v>-71.098142248459254</v>
      </c>
      <c r="AE64" s="16">
        <v>-54.621228919961837</v>
      </c>
      <c r="AF64" s="47">
        <v>1.3692369282182835</v>
      </c>
      <c r="AG64" s="16">
        <v>1.2456967542437014</v>
      </c>
      <c r="AH64" s="16">
        <v>1.3177618557288742</v>
      </c>
      <c r="AI64" s="47">
        <v>2.8656054631348835E-2</v>
      </c>
      <c r="AJ64" s="16">
        <v>2.8656054631348845E-2</v>
      </c>
      <c r="AK64" s="16">
        <v>2.8656054631348758E-2</v>
      </c>
      <c r="AM64" s="16">
        <v>-290.91179360478299</v>
      </c>
      <c r="AN64" s="47">
        <v>53.673583333333333</v>
      </c>
      <c r="AO64" s="16">
        <v>2.249916666666667</v>
      </c>
      <c r="AP64" s="16">
        <v>7.2319999999999993</v>
      </c>
      <c r="AQ64" s="16">
        <v>73.910250000000005</v>
      </c>
      <c r="AR64" s="16">
        <v>110.95858333333335</v>
      </c>
      <c r="AS64" s="47">
        <v>0.21640450600949099</v>
      </c>
      <c r="AT64" s="16">
        <v>9.0713545579533192E-3</v>
      </c>
      <c r="AU64" s="16">
        <v>2.9158429347658089E-2</v>
      </c>
      <c r="AV64" s="16">
        <v>0.2979959627617183</v>
      </c>
      <c r="AW64" s="16">
        <v>0.44736974732317936</v>
      </c>
      <c r="AX64" s="47">
        <v>-62.954622987378059</v>
      </c>
      <c r="AY64" s="16">
        <v>-2.6389640248791233</v>
      </c>
      <c r="AZ64" s="16">
        <v>-8.4825309802255564</v>
      </c>
      <c r="BA64" s="16">
        <v>-86.690540013995587</v>
      </c>
      <c r="BB64" s="16">
        <v>-130.14513559830468</v>
      </c>
      <c r="BC64" s="47">
        <v>1.4192287729636235</v>
      </c>
      <c r="BD64" s="16">
        <v>1.5599787339186935</v>
      </c>
      <c r="BE64" s="16">
        <v>1.501332916854081</v>
      </c>
      <c r="BF64" s="16">
        <v>1.2550204851827085</v>
      </c>
      <c r="BG64" s="16">
        <v>1.606895387570384</v>
      </c>
      <c r="BH64" s="47">
        <v>0.17291634129225084</v>
      </c>
      <c r="BI64" s="16">
        <v>0.17291634129225067</v>
      </c>
      <c r="BJ64" s="16">
        <v>0.17291634129225075</v>
      </c>
      <c r="BK64" s="16">
        <v>0.17291634129225084</v>
      </c>
      <c r="BL64" s="16">
        <v>0.17291634129225097</v>
      </c>
      <c r="BM64" s="47">
        <v>1.1393051865381782</v>
      </c>
      <c r="BN64" s="16">
        <v>1.139305186538178</v>
      </c>
      <c r="BO64" s="16">
        <v>1.1393051865381782</v>
      </c>
      <c r="BP64" s="16">
        <v>1.1393051865381785</v>
      </c>
      <c r="BQ64" s="16">
        <v>1.1393051865381785</v>
      </c>
      <c r="BT64" s="16">
        <v>-419.14277008875632</v>
      </c>
      <c r="BU64" s="47">
        <v>0.44467499999999999</v>
      </c>
      <c r="BV64" s="16">
        <v>62.125</v>
      </c>
      <c r="BW64" s="16">
        <v>247.59378000000004</v>
      </c>
      <c r="BX64" s="16">
        <v>91.100974999999991</v>
      </c>
      <c r="BY64" s="47">
        <v>1.1081844458528255E-3</v>
      </c>
      <c r="BZ64" s="16">
        <v>0.15482309259258287</v>
      </c>
      <c r="CA64" s="16">
        <v>0.61703395937686278</v>
      </c>
      <c r="CB64" s="16">
        <v>0.22703476358470143</v>
      </c>
      <c r="CC64" s="47">
        <v>0.46448749840402664</v>
      </c>
      <c r="CD64" s="16">
        <v>64.892979902963191</v>
      </c>
      <c r="CE64" s="16">
        <v>258.62532297205138</v>
      </c>
      <c r="CF64" s="16">
        <v>95.159979715337656</v>
      </c>
      <c r="CG64" s="47">
        <v>1.2639115602830657</v>
      </c>
      <c r="CH64" s="16">
        <v>0.74163405603386501</v>
      </c>
      <c r="CI64" s="16">
        <v>2.1308922173367391</v>
      </c>
      <c r="CJ64" s="16">
        <v>0.85653510696868929</v>
      </c>
      <c r="CK64" s="47">
        <v>4.4555008498401459E-2</v>
      </c>
      <c r="CL64" s="16">
        <v>4.2654535314948575E-2</v>
      </c>
      <c r="CM64" s="16">
        <v>4.2654535314948581E-2</v>
      </c>
      <c r="CN64" s="16">
        <v>4.4555008498401633E-2</v>
      </c>
      <c r="CO64" s="47">
        <v>0.96808202582872815</v>
      </c>
      <c r="CP64" s="16">
        <v>0.96808202582872827</v>
      </c>
      <c r="CQ64" s="16">
        <v>0.96808202582872815</v>
      </c>
      <c r="CR64" s="16">
        <v>0.96808202582872827</v>
      </c>
      <c r="CU64" s="16">
        <v>-231.8821965362462</v>
      </c>
      <c r="CV64" s="47">
        <v>12.435083333333333</v>
      </c>
      <c r="CW64" s="47">
        <v>6.8995446527025894</v>
      </c>
      <c r="CX64" s="47">
        <v>17.647417980277268</v>
      </c>
      <c r="CY64" s="47">
        <v>18.647417980277268</v>
      </c>
      <c r="DB64" s="16">
        <v>-110.86338147174901</v>
      </c>
      <c r="DC64" s="52">
        <v>4.0535057210877152</v>
      </c>
      <c r="DD64" s="47">
        <v>2.0477486624719661</v>
      </c>
      <c r="DE64" s="47">
        <v>3.0477486624719661</v>
      </c>
      <c r="DF64" s="47">
        <v>2.960412210297549</v>
      </c>
      <c r="DI64" s="16">
        <v>-70.783259725977274</v>
      </c>
      <c r="DJ64" s="47">
        <v>34.333333333333336</v>
      </c>
      <c r="DK64" s="16">
        <v>29.236666666666668</v>
      </c>
      <c r="DL64" s="47">
        <v>0.54008704315452782</v>
      </c>
      <c r="DM64" s="16">
        <v>0.45991295684547218</v>
      </c>
      <c r="DN64" s="47">
        <v>-38.22912145024204</v>
      </c>
      <c r="DO64" s="16">
        <v>-32.554138275735234</v>
      </c>
      <c r="DP64" s="47">
        <v>1.1468736435072613</v>
      </c>
      <c r="DQ64" s="16">
        <v>3.9862210133553351</v>
      </c>
      <c r="DR64" s="47">
        <v>-0.10190629470727852</v>
      </c>
      <c r="DS64" s="16">
        <v>-0.10190629470727847</v>
      </c>
      <c r="DV64" s="16">
        <v>-149.45439716300976</v>
      </c>
      <c r="DW64" s="47">
        <v>5.0040534764400597</v>
      </c>
      <c r="DX64" s="47">
        <v>-0.28457998763297537</v>
      </c>
      <c r="DY64" s="47">
        <v>-0.38648628234025384</v>
      </c>
      <c r="DZ64" s="47">
        <v>1</v>
      </c>
    </row>
    <row r="65" spans="1:130" x14ac:dyDescent="0.35">
      <c r="A65" s="13">
        <v>44805</v>
      </c>
      <c r="B65" s="47">
        <v>-110.71658071023363</v>
      </c>
      <c r="C65" s="47">
        <v>33.011999999999993</v>
      </c>
      <c r="D65" s="16">
        <v>7.0437000000000003</v>
      </c>
      <c r="E65" s="16">
        <v>38.774774999999998</v>
      </c>
      <c r="F65" s="47">
        <v>0.41877205484300323</v>
      </c>
      <c r="G65" s="16">
        <v>8.9352499778797487E-2</v>
      </c>
      <c r="H65" s="16">
        <v>0.49187544537819927</v>
      </c>
      <c r="I65" s="47">
        <v>-46.365010009215752</v>
      </c>
      <c r="J65" s="16">
        <v>-9.8928032534203645</v>
      </c>
      <c r="K65" s="16">
        <v>-54.458767447597509</v>
      </c>
      <c r="L65" s="47">
        <v>1.769656870580754</v>
      </c>
      <c r="M65" s="16">
        <v>1.4887589546155553</v>
      </c>
      <c r="N65" s="16">
        <v>1.6432528083964146</v>
      </c>
      <c r="O65" s="47">
        <v>0.40448957982599526</v>
      </c>
      <c r="P65" s="16">
        <v>0.40448957982599548</v>
      </c>
      <c r="Q65" s="16">
        <v>0.40448957982599548</v>
      </c>
      <c r="R65" s="47">
        <v>1.3627654698612446</v>
      </c>
      <c r="S65" s="16">
        <v>1.3627654698612448</v>
      </c>
      <c r="T65" s="16">
        <v>1.3627654698612446</v>
      </c>
      <c r="V65" s="16">
        <v>-207.36740190285451</v>
      </c>
      <c r="W65" s="47">
        <v>92.211000000000013</v>
      </c>
      <c r="X65" s="16">
        <v>60.499500000000005</v>
      </c>
      <c r="Y65" s="16">
        <v>48.496499999999997</v>
      </c>
      <c r="Z65" s="47">
        <v>0.45828922452996168</v>
      </c>
      <c r="AA65" s="16">
        <v>0.30068287882628336</v>
      </c>
      <c r="AB65" s="16">
        <v>0.2410278966437549</v>
      </c>
      <c r="AC65" s="47">
        <v>-95.034245810852099</v>
      </c>
      <c r="AD65" s="16">
        <v>-62.351827378877204</v>
      </c>
      <c r="AE65" s="16">
        <v>-49.981328713125201</v>
      </c>
      <c r="AF65" s="47">
        <v>1.298577715475091</v>
      </c>
      <c r="AG65" s="16">
        <v>1.0924542685742831</v>
      </c>
      <c r="AH65" s="16">
        <v>1.2058221643697276</v>
      </c>
      <c r="AI65" s="47">
        <v>2.9707667870287755E-2</v>
      </c>
      <c r="AJ65" s="16">
        <v>2.9707667870287828E-2</v>
      </c>
      <c r="AK65" s="16">
        <v>2.9707667870287946E-2</v>
      </c>
      <c r="AM65" s="16">
        <v>-292.10744831409954</v>
      </c>
      <c r="AN65" s="47">
        <v>47.019833333333331</v>
      </c>
      <c r="AO65" s="16">
        <v>2.1315</v>
      </c>
      <c r="AP65" s="16">
        <v>6.6104999999999992</v>
      </c>
      <c r="AQ65" s="16">
        <v>72.528750000000002</v>
      </c>
      <c r="AR65" s="16">
        <v>102.85941666666668</v>
      </c>
      <c r="AS65" s="47">
        <v>0.20341697310548704</v>
      </c>
      <c r="AT65" s="16">
        <v>9.2212848799480846E-3</v>
      </c>
      <c r="AU65" s="16">
        <v>2.8598312783906552E-2</v>
      </c>
      <c r="AV65" s="16">
        <v>0.31377352368591821</v>
      </c>
      <c r="AW65" s="16">
        <v>0.44498990554474011</v>
      </c>
      <c r="AX65" s="47">
        <v>-59.419612957621631</v>
      </c>
      <c r="AY65" s="16">
        <v>-2.6936059964590227</v>
      </c>
      <c r="AZ65" s="16">
        <v>-8.3537801733954353</v>
      </c>
      <c r="BA65" s="16">
        <v>-91.655583352417239</v>
      </c>
      <c r="BB65" s="16">
        <v>-129.9848658342062</v>
      </c>
      <c r="BC65" s="47">
        <v>1.3395366437938372</v>
      </c>
      <c r="BD65" s="16">
        <v>1.5922794067738066</v>
      </c>
      <c r="BE65" s="16">
        <v>1.4785451634328204</v>
      </c>
      <c r="BF65" s="16">
        <v>1.3268995056448387</v>
      </c>
      <c r="BG65" s="16">
        <v>1.6049165449228053</v>
      </c>
      <c r="BH65" s="47">
        <v>0.26371381489984635</v>
      </c>
      <c r="BI65" s="16">
        <v>0.26371381489984652</v>
      </c>
      <c r="BJ65" s="16">
        <v>0.26371381489984658</v>
      </c>
      <c r="BK65" s="16">
        <v>0.26371381489984635</v>
      </c>
      <c r="BL65" s="16">
        <v>0.26371381489984669</v>
      </c>
      <c r="BM65" s="47">
        <v>1.2261718246037072</v>
      </c>
      <c r="BN65" s="16">
        <v>1.2261718246037077</v>
      </c>
      <c r="BO65" s="16">
        <v>1.2261718246037074</v>
      </c>
      <c r="BP65" s="16">
        <v>1.2261718246037074</v>
      </c>
      <c r="BQ65" s="16">
        <v>1.2261718246037077</v>
      </c>
      <c r="BT65" s="16">
        <v>-397.48070024469871</v>
      </c>
      <c r="BU65" s="47">
        <v>0.38955000000000006</v>
      </c>
      <c r="BV65" s="16">
        <v>57.75</v>
      </c>
      <c r="BW65" s="16">
        <v>246.38008500000001</v>
      </c>
      <c r="BX65" s="16">
        <v>83.324062499999997</v>
      </c>
      <c r="BY65" s="47">
        <v>1.004399459140367E-3</v>
      </c>
      <c r="BZ65" s="16">
        <v>0.14890018936043173</v>
      </c>
      <c r="CA65" s="16">
        <v>0.63525612659981412</v>
      </c>
      <c r="CB65" s="16">
        <v>0.21483928458061383</v>
      </c>
      <c r="CC65" s="47">
        <v>0.39922940034450971</v>
      </c>
      <c r="CD65" s="16">
        <v>59.184951533552642</v>
      </c>
      <c r="CE65" s="16">
        <v>252.50205003562908</v>
      </c>
      <c r="CF65" s="16">
        <v>85.394469275172483</v>
      </c>
      <c r="CG65" s="47">
        <v>1.0863385043388019</v>
      </c>
      <c r="CH65" s="16">
        <v>0.67639944609774449</v>
      </c>
      <c r="CI65" s="16">
        <v>2.0804407205733653</v>
      </c>
      <c r="CJ65" s="16">
        <v>0.76863573420198239</v>
      </c>
      <c r="CK65" s="47">
        <v>2.4847645602643211E-2</v>
      </c>
      <c r="CL65" s="16">
        <v>2.4245209235985429E-2</v>
      </c>
      <c r="CM65" s="16">
        <v>2.4245209235985391E-2</v>
      </c>
      <c r="CN65" s="16">
        <v>2.4847645602643187E-2</v>
      </c>
      <c r="CO65" s="47">
        <v>0.96893676103479587</v>
      </c>
      <c r="CP65" s="16">
        <v>0.96893676103479565</v>
      </c>
      <c r="CQ65" s="16">
        <v>0.96893676103479554</v>
      </c>
      <c r="CR65" s="16">
        <v>0.96893676103479576</v>
      </c>
      <c r="CU65" s="16">
        <v>-203.92617746420945</v>
      </c>
      <c r="CV65" s="47">
        <v>12.435083333333333</v>
      </c>
      <c r="CW65" s="47">
        <v>6.0677265796442192</v>
      </c>
      <c r="CX65" s="47">
        <v>15.399261026065457</v>
      </c>
      <c r="CY65" s="47">
        <v>16.399261026065457</v>
      </c>
      <c r="DB65" s="16">
        <v>-110.23477141151389</v>
      </c>
      <c r="DC65" s="52">
        <v>4.0305218066367052</v>
      </c>
      <c r="DD65" s="47">
        <v>2.1988268306640517</v>
      </c>
      <c r="DE65" s="47">
        <v>3.1988268306640517</v>
      </c>
      <c r="DF65" s="47">
        <v>3.1037971456041187</v>
      </c>
      <c r="DI65" s="16">
        <v>-68.315123461420455</v>
      </c>
      <c r="DJ65" s="47">
        <v>35.666666666666664</v>
      </c>
      <c r="DK65" s="16">
        <v>28.991666666666664</v>
      </c>
      <c r="DL65" s="47">
        <v>0.55161747647892767</v>
      </c>
      <c r="DM65" s="16">
        <v>0.44838252352107227</v>
      </c>
      <c r="DN65" s="47">
        <v>-37.683816009135136</v>
      </c>
      <c r="DO65" s="16">
        <v>-30.631307452285313</v>
      </c>
      <c r="DP65" s="47">
        <v>1.1305144802740541</v>
      </c>
      <c r="DQ65" s="16">
        <v>3.7507723410961606</v>
      </c>
      <c r="DR65" s="47">
        <v>-5.3528266404322747E-2</v>
      </c>
      <c r="DS65" s="16">
        <v>-5.3528266404322809E-2</v>
      </c>
      <c r="DV65" s="16">
        <v>-137.00536903355018</v>
      </c>
      <c r="DW65" s="47">
        <v>4.5872333381769037</v>
      </c>
      <c r="DX65" s="47">
        <v>-0.22611305371030674</v>
      </c>
      <c r="DY65" s="47">
        <v>-0.27964132011462955</v>
      </c>
      <c r="DZ65" s="47">
        <v>1</v>
      </c>
    </row>
    <row r="66" spans="1:130" x14ac:dyDescent="0.35">
      <c r="A66" s="13">
        <v>44835</v>
      </c>
      <c r="B66" s="47">
        <v>-94.653151578282092</v>
      </c>
      <c r="C66" s="47">
        <v>31.963999999999999</v>
      </c>
      <c r="D66" s="16">
        <v>5.9140499999999996</v>
      </c>
      <c r="E66" s="16">
        <v>36.786325000000005</v>
      </c>
      <c r="F66" s="47">
        <v>0.42810242501862494</v>
      </c>
      <c r="G66" s="16">
        <v>7.9208457848873703E-2</v>
      </c>
      <c r="H66" s="16">
        <v>0.4926891171325013</v>
      </c>
      <c r="I66" s="47">
        <v>-40.521243726318048</v>
      </c>
      <c r="J66" s="16">
        <v>-7.4973301670514108</v>
      </c>
      <c r="K66" s="16">
        <v>-46.634577684912628</v>
      </c>
      <c r="L66" s="47">
        <v>1.5466123559663378</v>
      </c>
      <c r="M66" s="16">
        <v>1.1282663908279025</v>
      </c>
      <c r="N66" s="16">
        <v>1.4071637009201929</v>
      </c>
      <c r="O66" s="47">
        <v>0.26771504587404743</v>
      </c>
      <c r="P66" s="16">
        <v>0.26771504587404771</v>
      </c>
      <c r="Q66" s="16">
        <v>0.2677150458740476</v>
      </c>
      <c r="R66" s="47">
        <v>1.2170711288880123</v>
      </c>
      <c r="S66" s="16">
        <v>1.2170711288880125</v>
      </c>
      <c r="T66" s="16">
        <v>1.2170711288880127</v>
      </c>
      <c r="V66" s="16">
        <v>-193.83336079898743</v>
      </c>
      <c r="W66" s="47">
        <v>89.283666666666662</v>
      </c>
      <c r="X66" s="16">
        <v>50.796750000000003</v>
      </c>
      <c r="Y66" s="16">
        <v>46.009500000000003</v>
      </c>
      <c r="Z66" s="47">
        <v>0.47978777284637036</v>
      </c>
      <c r="AA66" s="16">
        <v>0.2729688470492983</v>
      </c>
      <c r="AB66" s="16">
        <v>0.24724338010433128</v>
      </c>
      <c r="AC66" s="47">
        <v>-92.998876481073125</v>
      </c>
      <c r="AD66" s="16">
        <v>-52.910469016990255</v>
      </c>
      <c r="AE66" s="16">
        <v>-47.924015300924033</v>
      </c>
      <c r="AF66" s="47">
        <v>1.2707657911328598</v>
      </c>
      <c r="AG66" s="16">
        <v>0.92703406074446359</v>
      </c>
      <c r="AH66" s="16">
        <v>1.1561885476700611</v>
      </c>
      <c r="AI66" s="47">
        <v>3.9948975245551147E-2</v>
      </c>
      <c r="AJ66" s="16">
        <v>3.994897524555141E-2</v>
      </c>
      <c r="AK66" s="16">
        <v>3.9948975245551126E-2</v>
      </c>
      <c r="AM66" s="16">
        <v>-279.65312252351777</v>
      </c>
      <c r="AN66" s="47">
        <v>39.478916666666663</v>
      </c>
      <c r="AO66" s="16">
        <v>2.0638333333333336</v>
      </c>
      <c r="AP66" s="16">
        <v>6.2715000000000005</v>
      </c>
      <c r="AQ66" s="16">
        <v>70.456499999999991</v>
      </c>
      <c r="AR66" s="16">
        <v>102.85941666666668</v>
      </c>
      <c r="AS66" s="47">
        <v>0.1785324782311474</v>
      </c>
      <c r="AT66" s="16">
        <v>9.3331152616746866E-3</v>
      </c>
      <c r="AU66" s="16">
        <v>2.8361123651906382E-2</v>
      </c>
      <c r="AV66" s="16">
        <v>0.31862002847493293</v>
      </c>
      <c r="AW66" s="16">
        <v>0.46515325438033861</v>
      </c>
      <c r="AX66" s="47">
        <v>-49.927165009202334</v>
      </c>
      <c r="AY66" s="16">
        <v>-2.6100348257992247</v>
      </c>
      <c r="AZ66" s="16">
        <v>-7.9312767875312131</v>
      </c>
      <c r="BA66" s="16">
        <v>-89.103085861547143</v>
      </c>
      <c r="BB66" s="16">
        <v>-130.08156003943785</v>
      </c>
      <c r="BC66" s="47">
        <v>1.1255419502356343</v>
      </c>
      <c r="BD66" s="16">
        <v>1.5428777295364875</v>
      </c>
      <c r="BE66" s="16">
        <v>1.4037658031028695</v>
      </c>
      <c r="BF66" s="16">
        <v>1.2899469542026369</v>
      </c>
      <c r="BG66" s="16">
        <v>1.6061104233699499</v>
      </c>
      <c r="BH66" s="47">
        <v>0.264653876669252</v>
      </c>
      <c r="BI66" s="16">
        <v>0.26465387666925205</v>
      </c>
      <c r="BJ66" s="16">
        <v>0.26465387666925166</v>
      </c>
      <c r="BK66" s="16">
        <v>0.26465387666925189</v>
      </c>
      <c r="BL66" s="16">
        <v>0.26465387666925189</v>
      </c>
      <c r="BM66" s="47">
        <v>1.2141322502560015</v>
      </c>
      <c r="BN66" s="16">
        <v>1.2141322502560017</v>
      </c>
      <c r="BO66" s="16">
        <v>1.2141322502560015</v>
      </c>
      <c r="BP66" s="16">
        <v>1.2141322502560015</v>
      </c>
      <c r="BQ66" s="16">
        <v>1.2141322502560017</v>
      </c>
      <c r="BT66" s="16">
        <v>-409.89655929518256</v>
      </c>
      <c r="BU66" s="47">
        <v>0.327075</v>
      </c>
      <c r="BV66" s="16">
        <v>56.875</v>
      </c>
      <c r="BW66" s="16">
        <v>245.16639000000001</v>
      </c>
      <c r="BX66" s="16">
        <v>83.324062499999997</v>
      </c>
      <c r="BY66" s="47">
        <v>8.48020059190802E-4</v>
      </c>
      <c r="BZ66" s="16">
        <v>0.14746202206367609</v>
      </c>
      <c r="CA66" s="16">
        <v>0.63565242393761445</v>
      </c>
      <c r="CB66" s="16">
        <v>0.21603753393951869</v>
      </c>
      <c r="CC66" s="47">
        <v>0.34760050447560681</v>
      </c>
      <c r="CD66" s="16">
        <v>60.444175470611128</v>
      </c>
      <c r="CE66" s="16">
        <v>260.55174147967091</v>
      </c>
      <c r="CF66" s="16">
        <v>88.553041840424939</v>
      </c>
      <c r="CG66" s="47">
        <v>0.94585171285879399</v>
      </c>
      <c r="CH66" s="16">
        <v>0.6907905768069843</v>
      </c>
      <c r="CI66" s="16">
        <v>2.1467645617693973</v>
      </c>
      <c r="CJ66" s="16">
        <v>0.79706605016190502</v>
      </c>
      <c r="CK66" s="47">
        <v>6.2754733549206715E-2</v>
      </c>
      <c r="CL66" s="16">
        <v>5.9049121653524939E-2</v>
      </c>
      <c r="CM66" s="16">
        <v>5.9049121653524952E-2</v>
      </c>
      <c r="CN66" s="16">
        <v>6.2754733549206687E-2</v>
      </c>
      <c r="CO66" s="47">
        <v>0.95360588087451847</v>
      </c>
      <c r="CP66" s="16">
        <v>0.95360588087451836</v>
      </c>
      <c r="CQ66" s="16">
        <v>0.95360588087451836</v>
      </c>
      <c r="CR66" s="16">
        <v>0.95360588087451836</v>
      </c>
      <c r="CU66" s="16">
        <v>-153.08053891468319</v>
      </c>
      <c r="CV66" s="47">
        <v>11.762916666666667</v>
      </c>
      <c r="CW66" s="47">
        <v>4.554838747771381</v>
      </c>
      <c r="CX66" s="47">
        <v>12.013824993632518</v>
      </c>
      <c r="CY66" s="47">
        <v>13.013824993632518</v>
      </c>
      <c r="DB66" s="16">
        <v>-109.1461395970028</v>
      </c>
      <c r="DC66" s="52">
        <v>3.9907180839854774</v>
      </c>
      <c r="DD66" s="47">
        <v>2.271080396709408</v>
      </c>
      <c r="DE66" s="47">
        <v>3.271080396709408</v>
      </c>
      <c r="DF66" s="47">
        <v>3.1404040869150558</v>
      </c>
      <c r="DI66" s="16">
        <v>-65.870579806765804</v>
      </c>
      <c r="DJ66" s="47">
        <v>31.666666666666668</v>
      </c>
      <c r="DK66" s="16">
        <v>28.501666666666669</v>
      </c>
      <c r="DL66" s="47">
        <v>0.52630121049278411</v>
      </c>
      <c r="DM66" s="16">
        <v>0.47369878950721589</v>
      </c>
      <c r="DN66" s="47">
        <v>-34.667765888162386</v>
      </c>
      <c r="DO66" s="16">
        <v>-31.202813918603422</v>
      </c>
      <c r="DP66" s="47">
        <v>1.0400329766448715</v>
      </c>
      <c r="DQ66" s="16">
        <v>3.8207527247269493</v>
      </c>
      <c r="DR66" s="47">
        <v>-8.6567424943886265E-2</v>
      </c>
      <c r="DS66" s="16">
        <v>-8.6567424943886251E-2</v>
      </c>
      <c r="DV66" s="16">
        <v>-116.6827650488121</v>
      </c>
      <c r="DW66" s="47">
        <v>3.9067890083307626</v>
      </c>
      <c r="DX66" s="47">
        <v>-0.10668326532147229</v>
      </c>
      <c r="DY66" s="47">
        <v>-0.19325069026535854</v>
      </c>
      <c r="DZ66" s="47">
        <v>1</v>
      </c>
    </row>
    <row r="67" spans="1:130" x14ac:dyDescent="0.35">
      <c r="A67" s="13">
        <v>44866</v>
      </c>
      <c r="B67" s="47">
        <v>-88.820171542537409</v>
      </c>
      <c r="C67" s="47">
        <v>31.963999999999999</v>
      </c>
      <c r="D67" s="16">
        <v>5.9140499999999996</v>
      </c>
      <c r="E67" s="16">
        <v>36.454916666666669</v>
      </c>
      <c r="F67" s="47">
        <v>0.43001108974080143</v>
      </c>
      <c r="G67" s="16">
        <v>7.9561603218670576E-2</v>
      </c>
      <c r="H67" s="16">
        <v>0.49042730704052806</v>
      </c>
      <c r="I67" s="47">
        <v>-38.193658755971434</v>
      </c>
      <c r="J67" s="16">
        <v>-7.0666752460816173</v>
      </c>
      <c r="K67" s="16">
        <v>-43.559837540484367</v>
      </c>
      <c r="L67" s="47">
        <v>1.457773234960742</v>
      </c>
      <c r="M67" s="16">
        <v>1.0634575238648032</v>
      </c>
      <c r="N67" s="16">
        <v>1.3143857036531279</v>
      </c>
      <c r="O67" s="47">
        <v>0.19489609423011639</v>
      </c>
      <c r="P67" s="16">
        <v>0.19489609423011592</v>
      </c>
      <c r="Q67" s="16">
        <v>0.19489609423011617</v>
      </c>
      <c r="R67" s="47">
        <v>1.1249019942932341</v>
      </c>
      <c r="S67" s="16">
        <v>1.1249019942932335</v>
      </c>
      <c r="T67" s="16">
        <v>1.1249019942932339</v>
      </c>
      <c r="V67" s="16">
        <v>-197.22858639693669</v>
      </c>
      <c r="W67" s="47">
        <v>89.283666666666662</v>
      </c>
      <c r="X67" s="16">
        <v>50.796750000000003</v>
      </c>
      <c r="Y67" s="16">
        <v>45.594999999999999</v>
      </c>
      <c r="Z67" s="47">
        <v>0.48085884641881771</v>
      </c>
      <c r="AA67" s="16">
        <v>0.2735782200569542</v>
      </c>
      <c r="AB67" s="16">
        <v>0.24556293352422798</v>
      </c>
      <c r="AC67" s="47">
        <v>-94.839110535645105</v>
      </c>
      <c r="AD67" s="16">
        <v>-53.95744561082315</v>
      </c>
      <c r="AE67" s="16">
        <v>-48.432030250468422</v>
      </c>
      <c r="AF67" s="47">
        <v>1.2959113259254624</v>
      </c>
      <c r="AG67" s="16">
        <v>0.94537793448660801</v>
      </c>
      <c r="AH67" s="16">
        <v>1.1684446381295155</v>
      </c>
      <c r="AI67" s="47">
        <v>5.8577561910920971E-2</v>
      </c>
      <c r="AJ67" s="16">
        <v>5.8577561910921103E-2</v>
      </c>
      <c r="AK67" s="16">
        <v>5.8577561910921019E-2</v>
      </c>
      <c r="AM67" s="16">
        <v>-265.39401795562526</v>
      </c>
      <c r="AN67" s="47">
        <v>39.478916666666663</v>
      </c>
      <c r="AO67" s="16">
        <v>2.0638333333333336</v>
      </c>
      <c r="AP67" s="16">
        <v>6.2149999999999999</v>
      </c>
      <c r="AQ67" s="16">
        <v>73.910250000000005</v>
      </c>
      <c r="AR67" s="16">
        <v>102.85941666666668</v>
      </c>
      <c r="AS67" s="47">
        <v>0.17583116241557728</v>
      </c>
      <c r="AT67" s="16">
        <v>9.1918989848678474E-3</v>
      </c>
      <c r="AU67" s="16">
        <v>2.7680361232796734E-2</v>
      </c>
      <c r="AV67" s="16">
        <v>0.32918140286505471</v>
      </c>
      <c r="AW67" s="16">
        <v>0.45811517450170341</v>
      </c>
      <c r="AX67" s="47">
        <v>-46.66453867527818</v>
      </c>
      <c r="AY67" s="16">
        <v>-2.4394750042363111</v>
      </c>
      <c r="AZ67" s="16">
        <v>-7.3462022860350498</v>
      </c>
      <c r="BA67" s="16">
        <v>-87.362775142626248</v>
      </c>
      <c r="BB67" s="16">
        <v>-121.58102684744948</v>
      </c>
      <c r="BC67" s="47">
        <v>1.0519903514997899</v>
      </c>
      <c r="BD67" s="16">
        <v>1.4420541896963415</v>
      </c>
      <c r="BE67" s="16">
        <v>1.3002127939885044</v>
      </c>
      <c r="BF67" s="16">
        <v>1.2647524450615455</v>
      </c>
      <c r="BG67" s="16">
        <v>1.5011547712412736</v>
      </c>
      <c r="BH67" s="47">
        <v>0.18201163089864034</v>
      </c>
      <c r="BI67" s="16">
        <v>0.18201163089864059</v>
      </c>
      <c r="BJ67" s="16">
        <v>0.18201163089864028</v>
      </c>
      <c r="BK67" s="16">
        <v>0.18201163089864059</v>
      </c>
      <c r="BL67" s="16">
        <v>0.18201163089864061</v>
      </c>
      <c r="BM67" s="47">
        <v>1.1127722714102464</v>
      </c>
      <c r="BN67" s="16">
        <v>1.1127722714102468</v>
      </c>
      <c r="BO67" s="16">
        <v>1.1127722714102466</v>
      </c>
      <c r="BP67" s="16">
        <v>1.1127722714102468</v>
      </c>
      <c r="BQ67" s="16">
        <v>1.1127722714102468</v>
      </c>
      <c r="BT67" s="16">
        <v>-417.99557138797439</v>
      </c>
      <c r="BU67" s="47">
        <v>0.327075</v>
      </c>
      <c r="BV67" s="16">
        <v>58.625</v>
      </c>
      <c r="BW67" s="16">
        <v>250.02117000000001</v>
      </c>
      <c r="BX67" s="16">
        <v>78.880112499999996</v>
      </c>
      <c r="BY67" s="47">
        <v>8.4329552310243949E-4</v>
      </c>
      <c r="BZ67" s="16">
        <v>0.15115248808952234</v>
      </c>
      <c r="CA67" s="16">
        <v>0.64462809246146591</v>
      </c>
      <c r="CB67" s="16">
        <v>0.20337612392590929</v>
      </c>
      <c r="CC67" s="47">
        <v>0.35249379402812497</v>
      </c>
      <c r="CD67" s="16">
        <v>63.181070625693884</v>
      </c>
      <c r="CE67" s="16">
        <v>269.45168784117044</v>
      </c>
      <c r="CF67" s="16">
        <v>85.010319127081942</v>
      </c>
      <c r="CG67" s="47">
        <v>0.95916678647108822</v>
      </c>
      <c r="CH67" s="16">
        <v>0.72206937857935871</v>
      </c>
      <c r="CI67" s="16">
        <v>2.2200939102589237</v>
      </c>
      <c r="CJ67" s="16">
        <v>0.76517799819603671</v>
      </c>
      <c r="CK67" s="47">
        <v>7.771549041695304E-2</v>
      </c>
      <c r="CL67" s="16">
        <v>7.2111323543179465E-2</v>
      </c>
      <c r="CM67" s="16">
        <v>7.2111323543179437E-2</v>
      </c>
      <c r="CN67" s="16">
        <v>7.7715490416953165E-2</v>
      </c>
      <c r="CO67" s="47">
        <v>0.93083035668699488</v>
      </c>
      <c r="CP67" s="16">
        <v>0.9308303566869951</v>
      </c>
      <c r="CQ67" s="16">
        <v>0.93083035668699499</v>
      </c>
      <c r="CR67" s="16">
        <v>0.93083035668699488</v>
      </c>
      <c r="CU67" s="16">
        <v>-145.88307972364203</v>
      </c>
      <c r="CV67" s="47">
        <v>11.09075</v>
      </c>
      <c r="CW67" s="47">
        <v>4.3406817671304347</v>
      </c>
      <c r="CX67" s="47">
        <v>12.153581112516468</v>
      </c>
      <c r="CY67" s="47">
        <v>13.153581112516468</v>
      </c>
      <c r="DB67" s="16">
        <v>-109.12900515886348</v>
      </c>
      <c r="DC67" s="52">
        <v>3.9900915963021388</v>
      </c>
      <c r="DD67" s="47">
        <v>2.2705668822148684</v>
      </c>
      <c r="DE67" s="47">
        <v>3.2705668822148684</v>
      </c>
      <c r="DF67" s="47">
        <v>3.0789850481881182</v>
      </c>
      <c r="DI67" s="16">
        <v>-66.703849064408814</v>
      </c>
      <c r="DJ67" s="47">
        <v>33</v>
      </c>
      <c r="DK67" s="16">
        <v>28.828333333333333</v>
      </c>
      <c r="DL67" s="47">
        <v>0.53373588160767715</v>
      </c>
      <c r="DM67" s="16">
        <v>0.46626411839232285</v>
      </c>
      <c r="DN67" s="47">
        <v>-35.60223768701767</v>
      </c>
      <c r="DO67" s="16">
        <v>-31.101611377391144</v>
      </c>
      <c r="DP67" s="47">
        <v>1.06806713061053</v>
      </c>
      <c r="DQ67" s="16">
        <v>3.8083605768234055</v>
      </c>
      <c r="DR67" s="47">
        <v>-7.3091969945658017E-2</v>
      </c>
      <c r="DS67" s="16">
        <v>-7.3091969945658142E-2</v>
      </c>
      <c r="DV67" s="16">
        <v>-114.11738257157582</v>
      </c>
      <c r="DW67" s="47">
        <v>3.8208945057447261</v>
      </c>
      <c r="DX67" s="47">
        <v>-7.6132566682321531E-2</v>
      </c>
      <c r="DY67" s="47">
        <v>-0.14922453662797969</v>
      </c>
      <c r="DZ67" s="47">
        <v>1</v>
      </c>
    </row>
    <row r="68" spans="1:130" x14ac:dyDescent="0.35">
      <c r="A68" s="13">
        <v>44896</v>
      </c>
      <c r="B68" s="47">
        <v>-89.030999480363263</v>
      </c>
      <c r="C68" s="47">
        <v>33.011999999999993</v>
      </c>
      <c r="D68" s="16">
        <v>6.0469499999999998</v>
      </c>
      <c r="E68" s="16">
        <v>37.117733333333341</v>
      </c>
      <c r="F68" s="47">
        <v>0.43336095187481904</v>
      </c>
      <c r="G68" s="16">
        <v>7.9380589117273637E-2</v>
      </c>
      <c r="H68" s="16">
        <v>0.48725845900790737</v>
      </c>
      <c r="I68" s="47">
        <v>-38.582558681176742</v>
      </c>
      <c r="J68" s="16">
        <v>-7.0673331884509185</v>
      </c>
      <c r="K68" s="16">
        <v>-43.381107610735604</v>
      </c>
      <c r="L68" s="47">
        <v>1.4726167435563642</v>
      </c>
      <c r="M68" s="16">
        <v>1.0635565370129298</v>
      </c>
      <c r="N68" s="16">
        <v>1.3089926609389908</v>
      </c>
      <c r="O68" s="47">
        <v>0.1687434472669557</v>
      </c>
      <c r="P68" s="16">
        <v>0.16874344726695584</v>
      </c>
      <c r="Q68" s="16">
        <v>0.16874344726695598</v>
      </c>
      <c r="R68" s="47">
        <v>1.1866028905429695</v>
      </c>
      <c r="S68" s="16">
        <v>1.1866028905429697</v>
      </c>
      <c r="T68" s="16">
        <v>1.1866028905429702</v>
      </c>
      <c r="V68" s="16">
        <v>-187.70495077755058</v>
      </c>
      <c r="W68" s="47">
        <v>92.211000000000013</v>
      </c>
      <c r="X68" s="16">
        <v>51.938250000000004</v>
      </c>
      <c r="Y68" s="16">
        <v>46.424000000000007</v>
      </c>
      <c r="Z68" s="47">
        <v>0.48386119248110632</v>
      </c>
      <c r="AA68" s="16">
        <v>0.27253693789658306</v>
      </c>
      <c r="AB68" s="16">
        <v>0.24360186962231059</v>
      </c>
      <c r="AC68" s="47">
        <v>-90.823141317832992</v>
      </c>
      <c r="AD68" s="16">
        <v>-51.156532512942483</v>
      </c>
      <c r="AE68" s="16">
        <v>-45.725276946775104</v>
      </c>
      <c r="AF68" s="47">
        <v>1.2410358640560191</v>
      </c>
      <c r="AG68" s="16">
        <v>0.89630367959601376</v>
      </c>
      <c r="AH68" s="16">
        <v>1.1031429902720169</v>
      </c>
      <c r="AI68" s="47">
        <v>-1.5280892755187066E-2</v>
      </c>
      <c r="AJ68" s="16">
        <v>-1.5280892755187108E-2</v>
      </c>
      <c r="AK68" s="16">
        <v>-1.52808927551872E-2</v>
      </c>
      <c r="AM68" s="16">
        <v>-265.42202835301049</v>
      </c>
      <c r="AN68" s="47">
        <v>40.366083333333329</v>
      </c>
      <c r="AO68" s="16">
        <v>2.1315</v>
      </c>
      <c r="AP68" s="16">
        <v>6.3280000000000003</v>
      </c>
      <c r="AQ68" s="16">
        <v>76.67325000000001</v>
      </c>
      <c r="AR68" s="16">
        <v>90.710666666666668</v>
      </c>
      <c r="AS68" s="47">
        <v>0.18669893475232738</v>
      </c>
      <c r="AT68" s="16">
        <v>9.8584937294614698E-3</v>
      </c>
      <c r="AU68" s="16">
        <v>2.9267909134427488E-2</v>
      </c>
      <c r="AV68" s="16">
        <v>0.35462479678275005</v>
      </c>
      <c r="AW68" s="16">
        <v>0.41954986560103352</v>
      </c>
      <c r="AX68" s="47">
        <v>-49.554009953309091</v>
      </c>
      <c r="AY68" s="16">
        <v>-2.6166614021790982</v>
      </c>
      <c r="AZ68" s="16">
        <v>-7.7683478081113471</v>
      </c>
      <c r="BA68" s="16">
        <v>-94.125232866351666</v>
      </c>
      <c r="BB68" s="16">
        <v>-111.35777632305926</v>
      </c>
      <c r="BC68" s="47">
        <v>1.1171296626708793</v>
      </c>
      <c r="BD68" s="16">
        <v>1.5467949175442945</v>
      </c>
      <c r="BE68" s="16">
        <v>1.3749288155949289</v>
      </c>
      <c r="BF68" s="16">
        <v>1.3626526654556883</v>
      </c>
      <c r="BG68" s="16">
        <v>1.3749288155949286</v>
      </c>
      <c r="BH68" s="47">
        <v>0.22761501392404318</v>
      </c>
      <c r="BI68" s="16">
        <v>0.22761501392404329</v>
      </c>
      <c r="BJ68" s="16">
        <v>0.22761501392404351</v>
      </c>
      <c r="BK68" s="16">
        <v>0.2276150139240434</v>
      </c>
      <c r="BL68" s="16">
        <v>0.22761501392404332</v>
      </c>
      <c r="BM68" s="47">
        <v>1.2463740672964738</v>
      </c>
      <c r="BN68" s="16">
        <v>1.246374067296474</v>
      </c>
      <c r="BO68" s="16">
        <v>1.2463740672964745</v>
      </c>
      <c r="BP68" s="16">
        <v>1.2463740672964743</v>
      </c>
      <c r="BQ68" s="16">
        <v>1.246374067296474</v>
      </c>
      <c r="BT68" s="16">
        <v>-404.28997219060739</v>
      </c>
      <c r="BU68" s="47">
        <v>0.33442500000000003</v>
      </c>
      <c r="BV68" s="16">
        <v>55.125</v>
      </c>
      <c r="BW68" s="16">
        <v>236.67052500000003</v>
      </c>
      <c r="BX68" s="16">
        <v>72.214187499999994</v>
      </c>
      <c r="BY68" s="47">
        <v>9.1788220415650308E-4</v>
      </c>
      <c r="BZ68" s="16">
        <v>0.1512992644214016</v>
      </c>
      <c r="CA68" s="16">
        <v>0.64957961619459303</v>
      </c>
      <c r="CB68" s="16">
        <v>0.19820323717984895</v>
      </c>
      <c r="CC68" s="47">
        <v>0.37109057079268604</v>
      </c>
      <c r="CD68" s="16">
        <v>61.168775405387805</v>
      </c>
      <c r="CE68" s="16">
        <v>262.61852496689744</v>
      </c>
      <c r="CF68" s="16">
        <v>80.131581247529496</v>
      </c>
      <c r="CG68" s="47">
        <v>1.0097702606603702</v>
      </c>
      <c r="CH68" s="16">
        <v>0.69907171891871778</v>
      </c>
      <c r="CI68" s="16">
        <v>2.163793415700793</v>
      </c>
      <c r="CJ68" s="16">
        <v>0.72126447190026444</v>
      </c>
      <c r="CK68" s="47">
        <v>0.10963764907732988</v>
      </c>
      <c r="CL68" s="16">
        <v>9.8804910926097486E-2</v>
      </c>
      <c r="CM68" s="16">
        <v>9.8804910926097458E-2</v>
      </c>
      <c r="CN68" s="16">
        <v>0.10963764907732987</v>
      </c>
      <c r="CO68" s="47">
        <v>1.0049358398174648</v>
      </c>
      <c r="CP68" s="16">
        <v>1.0049358398174648</v>
      </c>
      <c r="CQ68" s="16">
        <v>1.0049358398174648</v>
      </c>
      <c r="CR68" s="16">
        <v>1.0049358398174648</v>
      </c>
      <c r="CU68" s="16">
        <v>-148.36211729300106</v>
      </c>
      <c r="CV68" s="47">
        <v>11.09075</v>
      </c>
      <c r="CW68" s="47">
        <v>4.4144443528787818</v>
      </c>
      <c r="CX68" s="47">
        <v>12.377104099632671</v>
      </c>
      <c r="CY68" s="47">
        <v>13.377104099632671</v>
      </c>
      <c r="DB68" s="16">
        <v>-109.37935018295838</v>
      </c>
      <c r="DC68" s="52">
        <v>3.9992449792672167</v>
      </c>
      <c r="DD68" s="47">
        <v>2.1740039517993783</v>
      </c>
      <c r="DE68" s="47">
        <v>3.1740039517993783</v>
      </c>
      <c r="DF68" s="47">
        <v>3.2225055657913648</v>
      </c>
      <c r="DI68" s="16">
        <v>-67.17281156112449</v>
      </c>
      <c r="DJ68" s="47">
        <v>33</v>
      </c>
      <c r="DK68" s="16">
        <v>28.256666666666664</v>
      </c>
      <c r="DL68" s="47">
        <v>0.53871687435381188</v>
      </c>
      <c r="DM68" s="16">
        <v>0.46128312564618817</v>
      </c>
      <c r="DN68" s="47">
        <v>-36.187127085766583</v>
      </c>
      <c r="DO68" s="16">
        <v>-30.98568447535791</v>
      </c>
      <c r="DP68" s="47">
        <v>1.0856138125729975</v>
      </c>
      <c r="DQ68" s="16">
        <v>3.7941654459621934</v>
      </c>
      <c r="DR68" s="47">
        <v>-8.8073504100306718E-2</v>
      </c>
      <c r="DS68" s="16">
        <v>-8.807350410030676E-2</v>
      </c>
      <c r="DV68" s="16">
        <v>-113.68023247290789</v>
      </c>
      <c r="DW68" s="47">
        <v>3.8062577836911125</v>
      </c>
      <c r="DX68" s="47">
        <v>-9.0970660257101543E-2</v>
      </c>
      <c r="DY68" s="47">
        <v>-0.1790441643574083</v>
      </c>
      <c r="DZ68" s="47">
        <v>1</v>
      </c>
    </row>
    <row r="69" spans="1:130" x14ac:dyDescent="0.35">
      <c r="A69" s="13">
        <v>44927</v>
      </c>
      <c r="B69" s="47">
        <v>-81.290580036215488</v>
      </c>
      <c r="C69" s="47">
        <v>32.75</v>
      </c>
      <c r="D69" s="16">
        <v>6.1798499999999992</v>
      </c>
      <c r="E69" s="16">
        <v>35.792099999999998</v>
      </c>
      <c r="F69" s="47">
        <v>0.4382915595751985</v>
      </c>
      <c r="G69" s="16">
        <v>8.2704613570711141E-2</v>
      </c>
      <c r="H69" s="16">
        <v>0.47900382685409043</v>
      </c>
      <c r="I69" s="47">
        <v>-35.628975102845381</v>
      </c>
      <c r="J69" s="16">
        <v>-6.7231060088341676</v>
      </c>
      <c r="K69" s="16">
        <v>-38.938498924535942</v>
      </c>
      <c r="L69" s="47">
        <v>1.3598845459101292</v>
      </c>
      <c r="M69" s="16">
        <v>1.0117541021571359</v>
      </c>
      <c r="N69" s="16">
        <v>1.1749402476663515</v>
      </c>
      <c r="O69" s="47">
        <v>8.7907636728103353E-2</v>
      </c>
      <c r="P69" s="16">
        <v>8.7907636728103061E-2</v>
      </c>
      <c r="Q69" s="16">
        <v>8.7907636728103186E-2</v>
      </c>
      <c r="R69" s="47">
        <v>1.1192789895876567</v>
      </c>
      <c r="S69" s="16">
        <v>1.1192789895876563</v>
      </c>
      <c r="T69" s="16">
        <v>1.1192789895876563</v>
      </c>
      <c r="V69" s="16">
        <v>-184.0184838459777</v>
      </c>
      <c r="W69" s="47">
        <v>91.479166666666671</v>
      </c>
      <c r="X69" s="16">
        <v>53.079749999999997</v>
      </c>
      <c r="Y69" s="16">
        <v>44.765999999999998</v>
      </c>
      <c r="Z69" s="47">
        <v>0.48318609233949222</v>
      </c>
      <c r="AA69" s="16">
        <v>0.28036325558486536</v>
      </c>
      <c r="AB69" s="16">
        <v>0.23645065207564245</v>
      </c>
      <c r="AC69" s="47">
        <v>-88.915172127775932</v>
      </c>
      <c r="AD69" s="16">
        <v>-51.592021218849261</v>
      </c>
      <c r="AE69" s="16">
        <v>-43.511290499352505</v>
      </c>
      <c r="AF69" s="47">
        <v>1.214964775146107</v>
      </c>
      <c r="AG69" s="16">
        <v>0.90393379270870367</v>
      </c>
      <c r="AH69" s="16">
        <v>1.0497295657262367</v>
      </c>
      <c r="AI69" s="47">
        <v>-2.883641202657895E-2</v>
      </c>
      <c r="AJ69" s="16">
        <v>-2.8836412026578946E-2</v>
      </c>
      <c r="AK69" s="16">
        <v>-2.8836412026578821E-2</v>
      </c>
      <c r="AM69" s="16">
        <v>-274.50872044600942</v>
      </c>
      <c r="AN69" s="47">
        <v>41.253250000000001</v>
      </c>
      <c r="AO69" s="16">
        <v>2.1145833333333335</v>
      </c>
      <c r="AP69" s="16">
        <v>6.1020000000000003</v>
      </c>
      <c r="AQ69" s="16">
        <v>79.436249999999987</v>
      </c>
      <c r="AR69" s="16">
        <v>95.570166666666651</v>
      </c>
      <c r="AS69" s="47">
        <v>0.18377556645747603</v>
      </c>
      <c r="AT69" s="16">
        <v>9.4200759917066213E-3</v>
      </c>
      <c r="AU69" s="16">
        <v>2.7183276627260125E-2</v>
      </c>
      <c r="AV69" s="16">
        <v>0.35387373942677675</v>
      </c>
      <c r="AW69" s="16">
        <v>0.4257473414967804</v>
      </c>
      <c r="AX69" s="47">
        <v>-50.447995597482311</v>
      </c>
      <c r="AY69" s="16">
        <v>-2.5858930069875576</v>
      </c>
      <c r="AZ69" s="16">
        <v>-7.4620464844790915</v>
      </c>
      <c r="BA69" s="16">
        <v>-97.14142740948904</v>
      </c>
      <c r="BB69" s="16">
        <v>-116.8713579475714</v>
      </c>
      <c r="BC69" s="47">
        <v>1.1372833875066461</v>
      </c>
      <c r="BD69" s="16">
        <v>1.5286067036379649</v>
      </c>
      <c r="BE69" s="16">
        <v>1.3207161919432022</v>
      </c>
      <c r="BF69" s="16">
        <v>1.4063181673469278</v>
      </c>
      <c r="BG69" s="16">
        <v>1.4430047282342389</v>
      </c>
      <c r="BH69" s="47">
        <v>0.22288536291037214</v>
      </c>
      <c r="BI69" s="16">
        <v>0.22288536291037192</v>
      </c>
      <c r="BJ69" s="16">
        <v>0.22288536291037234</v>
      </c>
      <c r="BK69" s="16">
        <v>0.22288536291037211</v>
      </c>
      <c r="BL69" s="16">
        <v>0.22288536291037198</v>
      </c>
      <c r="BM69" s="47">
        <v>1.2581489890965281</v>
      </c>
      <c r="BN69" s="16">
        <v>1.2581489890965281</v>
      </c>
      <c r="BO69" s="16">
        <v>1.2581489890965281</v>
      </c>
      <c r="BP69" s="16">
        <v>1.2581489890965281</v>
      </c>
      <c r="BQ69" s="16">
        <v>1.2581489890965278</v>
      </c>
      <c r="BT69" s="16">
        <v>-404.58103206902581</v>
      </c>
      <c r="BU69" s="47">
        <v>0.341775</v>
      </c>
      <c r="BV69" s="16">
        <v>56.875</v>
      </c>
      <c r="BW69" s="16">
        <v>241.52530500000003</v>
      </c>
      <c r="BX69" s="16">
        <v>74.436162500000009</v>
      </c>
      <c r="BY69" s="47">
        <v>9.1584921379761291E-4</v>
      </c>
      <c r="BZ69" s="16">
        <v>0.15240706322796937</v>
      </c>
      <c r="CA69" s="16">
        <v>0.6472116471259709</v>
      </c>
      <c r="CB69" s="16">
        <v>0.19946544043226205</v>
      </c>
      <c r="CC69" s="47">
        <v>0.37053522013784412</v>
      </c>
      <c r="CD69" s="16">
        <v>61.661006935381124</v>
      </c>
      <c r="CE69" s="16">
        <v>261.84955616131947</v>
      </c>
      <c r="CF69" s="16">
        <v>80.699933752187377</v>
      </c>
      <c r="CG69" s="47">
        <v>1.0082591024159024</v>
      </c>
      <c r="CH69" s="16">
        <v>0.70469722211864139</v>
      </c>
      <c r="CI69" s="16">
        <v>2.1574576492555333</v>
      </c>
      <c r="CJ69" s="16">
        <v>0.72638021356844584</v>
      </c>
      <c r="CK69" s="47">
        <v>8.4149572490217622E-2</v>
      </c>
      <c r="CL69" s="16">
        <v>7.7618047016272548E-2</v>
      </c>
      <c r="CM69" s="16">
        <v>7.761804701627277E-2</v>
      </c>
      <c r="CN69" s="16">
        <v>8.4149572490217608E-2</v>
      </c>
      <c r="CO69" s="47">
        <v>1.0241818332204811</v>
      </c>
      <c r="CP69" s="16">
        <v>1.0241818332204808</v>
      </c>
      <c r="CQ69" s="16">
        <v>1.0241818332204811</v>
      </c>
      <c r="CR69" s="16">
        <v>1.0241818332204808</v>
      </c>
      <c r="CU69" s="16">
        <v>-108.36159975208064</v>
      </c>
      <c r="CV69" s="47">
        <v>11.426833333333335</v>
      </c>
      <c r="CW69" s="47">
        <v>3.2242479469996717</v>
      </c>
      <c r="CX69" s="47">
        <v>8.4830821970578576</v>
      </c>
      <c r="CY69" s="47">
        <v>9.4830821970578576</v>
      </c>
      <c r="DB69" s="16">
        <v>-108.54176525402146</v>
      </c>
      <c r="DC69" s="52">
        <v>3.9686203017923751</v>
      </c>
      <c r="DD69" s="47">
        <v>2.1748962414338999</v>
      </c>
      <c r="DE69" s="47">
        <v>3.1748962414338999</v>
      </c>
      <c r="DF69" s="47">
        <v>3.2664488575935251</v>
      </c>
      <c r="DI69" s="16">
        <v>-65.12034827269099</v>
      </c>
      <c r="DJ69" s="47">
        <v>35.333333333333336</v>
      </c>
      <c r="DK69" s="16">
        <v>27.521666666666665</v>
      </c>
      <c r="DL69" s="47">
        <v>0.56214037599766664</v>
      </c>
      <c r="DM69" s="16">
        <v>0.43785962400233336</v>
      </c>
      <c r="DN69" s="47">
        <v>-36.606777063109512</v>
      </c>
      <c r="DO69" s="16">
        <v>-28.513571209581475</v>
      </c>
      <c r="DP69" s="47">
        <v>1.0982033118932855</v>
      </c>
      <c r="DQ69" s="16">
        <v>3.4914576991324258</v>
      </c>
      <c r="DR69" s="47">
        <v>-3.4787103152533284E-2</v>
      </c>
      <c r="DS69" s="16">
        <v>-3.4787103152533125E-2</v>
      </c>
      <c r="DV69" s="16">
        <v>-92.115441015752168</v>
      </c>
      <c r="DW69" s="47">
        <v>3.0842223554381309</v>
      </c>
      <c r="DX69" s="47">
        <v>9.2657925281548925E-2</v>
      </c>
      <c r="DY69" s="47">
        <v>5.78708221290158E-2</v>
      </c>
      <c r="DZ69" s="47">
        <v>1</v>
      </c>
    </row>
    <row r="70" spans="1:130" x14ac:dyDescent="0.35">
      <c r="A70" s="13">
        <v>44958</v>
      </c>
      <c r="B70" s="47">
        <v>-82.915571678137781</v>
      </c>
      <c r="C70" s="47">
        <v>32.75</v>
      </c>
      <c r="D70" s="16">
        <v>6.2462999999999989</v>
      </c>
      <c r="E70" s="16">
        <v>35.460691666666669</v>
      </c>
      <c r="F70" s="47">
        <v>0.43985123850580854</v>
      </c>
      <c r="G70" s="16">
        <v>8.3891382933704781E-2</v>
      </c>
      <c r="H70" s="16">
        <v>0.47625737856048667</v>
      </c>
      <c r="I70" s="47">
        <v>-36.470516894046042</v>
      </c>
      <c r="J70" s="16">
        <v>-6.9559019748177029</v>
      </c>
      <c r="K70" s="16">
        <v>-39.489152809274032</v>
      </c>
      <c r="L70" s="47">
        <v>1.3920044616048108</v>
      </c>
      <c r="M70" s="16">
        <v>1.0467873551268176</v>
      </c>
      <c r="N70" s="16">
        <v>1.1915558191337183</v>
      </c>
      <c r="O70" s="47">
        <v>0.11360356928384867</v>
      </c>
      <c r="P70" s="16">
        <v>0.11360356928384861</v>
      </c>
      <c r="Q70" s="16">
        <v>0.11360356928384885</v>
      </c>
      <c r="R70" s="47">
        <v>1.0980758722614068</v>
      </c>
      <c r="S70" s="16">
        <v>1.0980758722614068</v>
      </c>
      <c r="T70" s="16">
        <v>1.098075872261407</v>
      </c>
      <c r="V70" s="16">
        <v>-192.16058638781902</v>
      </c>
      <c r="W70" s="47">
        <v>91.479166666666671</v>
      </c>
      <c r="X70" s="16">
        <v>53.650499999999994</v>
      </c>
      <c r="Y70" s="16">
        <v>44.351499999999994</v>
      </c>
      <c r="Z70" s="47">
        <v>0.48278764732114987</v>
      </c>
      <c r="AA70" s="16">
        <v>0.28314423509108644</v>
      </c>
      <c r="AB70" s="16">
        <v>0.23406811758776377</v>
      </c>
      <c r="AC70" s="47">
        <v>-92.772757410027722</v>
      </c>
      <c r="AD70" s="16">
        <v>-54.409162247433656</v>
      </c>
      <c r="AE70" s="16">
        <v>-44.978666730357659</v>
      </c>
      <c r="AF70" s="47">
        <v>1.2676760292875571</v>
      </c>
      <c r="AG70" s="16">
        <v>0.95329237402424294</v>
      </c>
      <c r="AH70" s="16">
        <v>1.0851306810701487</v>
      </c>
      <c r="AI70" s="47">
        <v>1.3943648755030199E-2</v>
      </c>
      <c r="AJ70" s="16">
        <v>1.3943648755030277E-2</v>
      </c>
      <c r="AK70" s="16">
        <v>1.3943648755029958E-2</v>
      </c>
      <c r="AM70" s="16">
        <v>-289.60632797090852</v>
      </c>
      <c r="AN70" s="47">
        <v>41.696833333333323</v>
      </c>
      <c r="AO70" s="16">
        <v>2.1145833333333335</v>
      </c>
      <c r="AP70" s="16">
        <v>6.0455000000000005</v>
      </c>
      <c r="AQ70" s="16">
        <v>82.199249999999992</v>
      </c>
      <c r="AR70" s="16">
        <v>92.330499999999986</v>
      </c>
      <c r="AS70" s="47">
        <v>0.18582580664329429</v>
      </c>
      <c r="AT70" s="16">
        <v>9.4238368292827862E-3</v>
      </c>
      <c r="AU70" s="16">
        <v>2.6942331689345775E-2</v>
      </c>
      <c r="AV70" s="16">
        <v>0.36632858458613105</v>
      </c>
      <c r="AW70" s="16">
        <v>0.41147944025194599</v>
      </c>
      <c r="AX70" s="47">
        <v>-53.816329504196517</v>
      </c>
      <c r="AY70" s="16">
        <v>-2.7292027795255973</v>
      </c>
      <c r="AZ70" s="16">
        <v>-7.8026697475256741</v>
      </c>
      <c r="BA70" s="16">
        <v>-106.09107621276978</v>
      </c>
      <c r="BB70" s="16">
        <v>-119.16704972689092</v>
      </c>
      <c r="BC70" s="47">
        <v>1.2132180237654673</v>
      </c>
      <c r="BD70" s="16">
        <v>1.6133218401136533</v>
      </c>
      <c r="BE70" s="16">
        <v>1.3810034951372876</v>
      </c>
      <c r="BF70" s="16">
        <v>1.5358823917881981</v>
      </c>
      <c r="BG70" s="16">
        <v>1.4713495181836516</v>
      </c>
      <c r="BH70" s="47">
        <v>0.29065747209092269</v>
      </c>
      <c r="BI70" s="16">
        <v>0.29065747209092263</v>
      </c>
      <c r="BJ70" s="16">
        <v>0.29065747209092291</v>
      </c>
      <c r="BK70" s="16">
        <v>0.2906574720909228</v>
      </c>
      <c r="BL70" s="16">
        <v>0.29065747209092252</v>
      </c>
      <c r="BM70" s="47">
        <v>1.2726609976370316</v>
      </c>
      <c r="BN70" s="16">
        <v>1.2726609976370316</v>
      </c>
      <c r="BO70" s="16">
        <v>1.2726609976370322</v>
      </c>
      <c r="BP70" s="16">
        <v>1.2726609976370318</v>
      </c>
      <c r="BQ70" s="16">
        <v>1.2726609976370316</v>
      </c>
      <c r="BT70" s="16">
        <v>-405.09846531429179</v>
      </c>
      <c r="BU70" s="47">
        <v>0.34544999999999998</v>
      </c>
      <c r="BV70" s="16">
        <v>60.375</v>
      </c>
      <c r="BW70" s="16">
        <v>233.02944000000002</v>
      </c>
      <c r="BX70" s="16">
        <v>73.325175000000002</v>
      </c>
      <c r="BY70" s="47">
        <v>9.4108816680315763E-4</v>
      </c>
      <c r="BZ70" s="16">
        <v>0.16447589541392574</v>
      </c>
      <c r="CA70" s="16">
        <v>0.63482775655164703</v>
      </c>
      <c r="CB70" s="16">
        <v>0.19975525986762405</v>
      </c>
      <c r="CC70" s="47">
        <v>0.38123337209739938</v>
      </c>
      <c r="CD70" s="16">
        <v>66.628932813375286</v>
      </c>
      <c r="CE70" s="16">
        <v>257.16774991798707</v>
      </c>
      <c r="CF70" s="16">
        <v>80.920549210832036</v>
      </c>
      <c r="CG70" s="47">
        <v>1.0373697199929235</v>
      </c>
      <c r="CH70" s="16">
        <v>0.76147351786714612</v>
      </c>
      <c r="CI70" s="16">
        <v>2.1188828323259719</v>
      </c>
      <c r="CJ70" s="16">
        <v>0.72836597361205269</v>
      </c>
      <c r="CK70" s="47">
        <v>0.10358480850311015</v>
      </c>
      <c r="CL70" s="16">
        <v>9.3862118891987686E-2</v>
      </c>
      <c r="CM70" s="16">
        <v>9.3862118891987659E-2</v>
      </c>
      <c r="CN70" s="16">
        <v>0.10358480850311008</v>
      </c>
      <c r="CO70" s="47">
        <v>0.97388218850621944</v>
      </c>
      <c r="CP70" s="16">
        <v>0.97388218850621955</v>
      </c>
      <c r="CQ70" s="16">
        <v>0.97388218850621955</v>
      </c>
      <c r="CR70" s="16">
        <v>0.97388218850621933</v>
      </c>
      <c r="CU70" s="16">
        <v>-99.935192528761178</v>
      </c>
      <c r="CV70" s="47">
        <v>12.098999999999998</v>
      </c>
      <c r="CW70" s="47">
        <v>2.9735242012029115</v>
      </c>
      <c r="CX70" s="47">
        <v>7.2597894477858658</v>
      </c>
      <c r="CY70" s="47">
        <v>8.2597894477858667</v>
      </c>
      <c r="DB70" s="16">
        <v>-108.45481418185251</v>
      </c>
      <c r="DC70" s="52">
        <v>3.9654411035412256</v>
      </c>
      <c r="DD70" s="47">
        <v>2.1723528828329806</v>
      </c>
      <c r="DE70" s="47">
        <v>3.1723528828329806</v>
      </c>
      <c r="DF70" s="47">
        <v>3.12811870850775</v>
      </c>
      <c r="DI70" s="16">
        <v>-62.933702867036963</v>
      </c>
      <c r="DJ70" s="47">
        <v>36.333333333333336</v>
      </c>
      <c r="DK70" s="16">
        <v>25.888333333333332</v>
      </c>
      <c r="DL70" s="47">
        <v>0.58393378512308147</v>
      </c>
      <c r="DM70" s="16">
        <v>0.41606621487691853</v>
      </c>
      <c r="DN70" s="47">
        <v>-36.749115326960215</v>
      </c>
      <c r="DO70" s="16">
        <v>-26.184587540076745</v>
      </c>
      <c r="DP70" s="47">
        <v>1.1024734598088064</v>
      </c>
      <c r="DQ70" s="16">
        <v>3.2062760253155194</v>
      </c>
      <c r="DR70" s="47">
        <v>-1.1314068105521104E-2</v>
      </c>
      <c r="DS70" s="16">
        <v>-1.1314068105521147E-2</v>
      </c>
      <c r="DV70" s="16">
        <v>-81.0483617329228</v>
      </c>
      <c r="DW70" s="47">
        <v>2.7136728258791116</v>
      </c>
      <c r="DX70" s="47">
        <v>0.16815850819195871</v>
      </c>
      <c r="DY70" s="47">
        <v>0.15684444008643755</v>
      </c>
      <c r="DZ70" s="47">
        <v>1</v>
      </c>
    </row>
    <row r="71" spans="1:130" x14ac:dyDescent="0.35">
      <c r="A71" s="13">
        <v>44986</v>
      </c>
      <c r="B71" s="47">
        <v>-81.251594926234702</v>
      </c>
      <c r="C71" s="47">
        <v>32.225999999999999</v>
      </c>
      <c r="D71" s="16">
        <v>6.5785499999999999</v>
      </c>
      <c r="E71" s="16">
        <v>35.129283333333333</v>
      </c>
      <c r="F71" s="47">
        <v>0.43587622265854831</v>
      </c>
      <c r="G71" s="16">
        <v>8.8978884272649203E-2</v>
      </c>
      <c r="H71" s="16">
        <v>0.47514489306880259</v>
      </c>
      <c r="I71" s="47">
        <v>-35.415638281429651</v>
      </c>
      <c r="J71" s="16">
        <v>-7.2296762619096091</v>
      </c>
      <c r="K71" s="16">
        <v>-38.606280382895449</v>
      </c>
      <c r="L71" s="47">
        <v>1.3517419191385365</v>
      </c>
      <c r="M71" s="16">
        <v>1.0879873983310173</v>
      </c>
      <c r="N71" s="16">
        <v>1.1649158002332103</v>
      </c>
      <c r="O71" s="47">
        <v>9.8977170031330483E-2</v>
      </c>
      <c r="P71" s="16">
        <v>9.8977170031330636E-2</v>
      </c>
      <c r="Q71" s="16">
        <v>9.89771700313304E-2</v>
      </c>
      <c r="R71" s="47">
        <v>1.097949418198779</v>
      </c>
      <c r="S71" s="16">
        <v>1.0979494181987792</v>
      </c>
      <c r="T71" s="16">
        <v>1.0979494181987788</v>
      </c>
      <c r="V71" s="16">
        <v>-190.63502986480054</v>
      </c>
      <c r="W71" s="47">
        <v>90.015500000000017</v>
      </c>
      <c r="X71" s="16">
        <v>56.504249999999992</v>
      </c>
      <c r="Y71" s="16">
        <v>43.937000000000005</v>
      </c>
      <c r="Z71" s="47">
        <v>0.47262961275985232</v>
      </c>
      <c r="AA71" s="16">
        <v>0.29667759215674944</v>
      </c>
      <c r="AB71" s="16">
        <v>0.23069279508339818</v>
      </c>
      <c r="AC71" s="47">
        <v>-90.099760343463558</v>
      </c>
      <c r="AD71" s="16">
        <v>-56.557141641019044</v>
      </c>
      <c r="AE71" s="16">
        <v>-43.978127880317928</v>
      </c>
      <c r="AF71" s="47">
        <v>1.2311513597376027</v>
      </c>
      <c r="AG71" s="16">
        <v>0.99092670417904594</v>
      </c>
      <c r="AH71" s="16">
        <v>1.0609922287169584</v>
      </c>
      <c r="AI71" s="47">
        <v>9.3518942938755373E-4</v>
      </c>
      <c r="AJ71" s="16">
        <v>9.3518942938740628E-4</v>
      </c>
      <c r="AK71" s="16">
        <v>9.3518942938748228E-4</v>
      </c>
      <c r="AM71" s="16">
        <v>-289.90175068265597</v>
      </c>
      <c r="AN71" s="47">
        <v>43.914749999999998</v>
      </c>
      <c r="AO71" s="16">
        <v>2.0807500000000001</v>
      </c>
      <c r="AP71" s="16">
        <v>5.9889999999999999</v>
      </c>
      <c r="AQ71" s="16">
        <v>82.199249999999992</v>
      </c>
      <c r="AR71" s="16">
        <v>91.52058333333332</v>
      </c>
      <c r="AS71" s="47">
        <v>0.19456759802278203</v>
      </c>
      <c r="AT71" s="16">
        <v>9.2189191464349396E-3</v>
      </c>
      <c r="AU71" s="16">
        <v>2.6534714294364461E-2</v>
      </c>
      <c r="AV71" s="16">
        <v>0.36418995056955045</v>
      </c>
      <c r="AW71" s="16">
        <v>0.40548881796686814</v>
      </c>
      <c r="AX71" s="47">
        <v>-56.405487292923787</v>
      </c>
      <c r="AY71" s="16">
        <v>-2.6725807999533453</v>
      </c>
      <c r="AZ71" s="16">
        <v>-7.6924601278003539</v>
      </c>
      <c r="BA71" s="16">
        <v>-105.57930425114262</v>
      </c>
      <c r="BB71" s="16">
        <v>-117.55191821083588</v>
      </c>
      <c r="BC71" s="47">
        <v>1.2715871642214644</v>
      </c>
      <c r="BD71" s="16">
        <v>1.5798507191842432</v>
      </c>
      <c r="BE71" s="16">
        <v>1.3614973677522753</v>
      </c>
      <c r="BF71" s="16">
        <v>1.5284734600237802</v>
      </c>
      <c r="BG71" s="16">
        <v>1.4514075712830854</v>
      </c>
      <c r="BH71" s="47">
        <v>0.28443147901158028</v>
      </c>
      <c r="BI71" s="16">
        <v>0.28443147901157989</v>
      </c>
      <c r="BJ71" s="16">
        <v>0.28443147901158039</v>
      </c>
      <c r="BK71" s="16">
        <v>0.28443147901158</v>
      </c>
      <c r="BL71" s="16">
        <v>0.28443147901158011</v>
      </c>
      <c r="BM71" s="47">
        <v>1.2832302922696361</v>
      </c>
      <c r="BN71" s="16">
        <v>1.2832302922696357</v>
      </c>
      <c r="BO71" s="16">
        <v>1.2832302922696361</v>
      </c>
      <c r="BP71" s="16">
        <v>1.2832302922696357</v>
      </c>
      <c r="BQ71" s="16">
        <v>1.2832302922696359</v>
      </c>
      <c r="BT71" s="16">
        <v>-404.85598220413112</v>
      </c>
      <c r="BU71" s="47">
        <v>0.36382500000000001</v>
      </c>
      <c r="BV71" s="16">
        <v>60.375</v>
      </c>
      <c r="BW71" s="16">
        <v>220.89249000000004</v>
      </c>
      <c r="BX71" s="16">
        <v>68.881225000000001</v>
      </c>
      <c r="BY71" s="47">
        <v>1.0379799821141919E-3</v>
      </c>
      <c r="BZ71" s="16">
        <v>0.17224776037969994</v>
      </c>
      <c r="CA71" s="16">
        <v>0.63019853726203345</v>
      </c>
      <c r="CB71" s="16">
        <v>0.19651572237615234</v>
      </c>
      <c r="CC71" s="47">
        <v>0.42023240516706761</v>
      </c>
      <c r="CD71" s="16">
        <v>69.735536210985245</v>
      </c>
      <c r="CE71" s="16">
        <v>255.13964778682728</v>
      </c>
      <c r="CF71" s="16">
        <v>79.560565801151498</v>
      </c>
      <c r="CG71" s="47">
        <v>1.1434895378695717</v>
      </c>
      <c r="CH71" s="16">
        <v>0.79697755669697434</v>
      </c>
      <c r="CI71" s="16">
        <v>2.1021726857804244</v>
      </c>
      <c r="CJ71" s="16">
        <v>0.71612476109003476</v>
      </c>
      <c r="CK71" s="47">
        <v>0.15503993724199167</v>
      </c>
      <c r="CL71" s="16">
        <v>0.13422907056547045</v>
      </c>
      <c r="CM71" s="16">
        <v>0.13422907056547007</v>
      </c>
      <c r="CN71" s="16">
        <v>0.15503993724199155</v>
      </c>
      <c r="CO71" s="47">
        <v>0.97488243672017005</v>
      </c>
      <c r="CP71" s="16">
        <v>0.97488243672017016</v>
      </c>
      <c r="CQ71" s="16">
        <v>0.97488243672016983</v>
      </c>
      <c r="CR71" s="16">
        <v>0.97488243672016994</v>
      </c>
      <c r="CU71" s="16">
        <v>-92.881298150559672</v>
      </c>
      <c r="CV71" s="47">
        <v>12.098999999999998</v>
      </c>
      <c r="CW71" s="47">
        <v>2.7636389233987506</v>
      </c>
      <c r="CX71" s="47">
        <v>6.6767747872187524</v>
      </c>
      <c r="CY71" s="47">
        <v>7.6767747872187524</v>
      </c>
      <c r="DB71" s="16">
        <v>-108.28710489460097</v>
      </c>
      <c r="DC71" s="52">
        <v>3.9593091369141122</v>
      </c>
      <c r="DD71" s="47">
        <v>2.2189505178163516</v>
      </c>
      <c r="DE71" s="47">
        <v>3.2189505178163516</v>
      </c>
      <c r="DF71" s="47">
        <v>3.2159401893183683</v>
      </c>
      <c r="DI71" s="16">
        <v>-60.455135776329776</v>
      </c>
      <c r="DJ71" s="47">
        <v>35.666666666666664</v>
      </c>
      <c r="DK71" s="16">
        <v>25.071666666666662</v>
      </c>
      <c r="DL71" s="47">
        <v>0.58721839585105506</v>
      </c>
      <c r="DM71" s="16">
        <v>0.41278160414894488</v>
      </c>
      <c r="DN71" s="47">
        <v>-35.500367851534101</v>
      </c>
      <c r="DO71" s="16">
        <v>-24.954767924795672</v>
      </c>
      <c r="DP71" s="47">
        <v>1.0650110355460229</v>
      </c>
      <c r="DQ71" s="16">
        <v>3.0556858683423274</v>
      </c>
      <c r="DR71" s="47">
        <v>4.6844251256225851E-3</v>
      </c>
      <c r="DS71" s="16">
        <v>4.6844251256225244E-3</v>
      </c>
      <c r="DV71" s="16">
        <v>-70.839840002508396</v>
      </c>
      <c r="DW71" s="47">
        <v>2.3718696429411295</v>
      </c>
      <c r="DX71" s="47">
        <v>0.29433757421558188</v>
      </c>
      <c r="DY71" s="47">
        <v>0.29902199934120438</v>
      </c>
      <c r="DZ71" s="47">
        <v>1</v>
      </c>
    </row>
    <row r="72" spans="1:130" x14ac:dyDescent="0.35">
      <c r="A72" s="13">
        <v>45017</v>
      </c>
      <c r="B72" s="47">
        <v>-73.406334136115817</v>
      </c>
      <c r="C72" s="47">
        <v>33.011999999999993</v>
      </c>
      <c r="D72" s="16">
        <v>6.8443499999999995</v>
      </c>
      <c r="E72" s="16">
        <v>35.460691666666669</v>
      </c>
      <c r="F72" s="47">
        <v>0.43830717815633802</v>
      </c>
      <c r="G72" s="16">
        <v>9.0873856016428334E-2</v>
      </c>
      <c r="H72" s="16">
        <v>0.47081896582723376</v>
      </c>
      <c r="I72" s="47">
        <v>-32.174523174002189</v>
      </c>
      <c r="J72" s="16">
        <v>-6.6707166389792167</v>
      </c>
      <c r="K72" s="16">
        <v>-34.561094323134412</v>
      </c>
      <c r="L72" s="47">
        <v>1.2280352356489386</v>
      </c>
      <c r="M72" s="16">
        <v>1.0038700735860373</v>
      </c>
      <c r="N72" s="16">
        <v>1.0428553191621941</v>
      </c>
      <c r="O72" s="47">
        <v>-2.5368860596080504E-2</v>
      </c>
      <c r="P72" s="16">
        <v>-2.5368860596080314E-2</v>
      </c>
      <c r="Q72" s="16">
        <v>-2.5368860596080341E-2</v>
      </c>
      <c r="R72" s="47">
        <v>1.0265263272556011</v>
      </c>
      <c r="S72" s="16">
        <v>1.0265263272556011</v>
      </c>
      <c r="T72" s="16">
        <v>1.0265263272556016</v>
      </c>
      <c r="V72" s="16">
        <v>-185.47400526373784</v>
      </c>
      <c r="W72" s="47">
        <v>92.211000000000013</v>
      </c>
      <c r="X72" s="16">
        <v>58.78725</v>
      </c>
      <c r="Y72" s="16">
        <v>44.351499999999994</v>
      </c>
      <c r="Z72" s="47">
        <v>0.47203029438225547</v>
      </c>
      <c r="AA72" s="16">
        <v>0.30093332599606604</v>
      </c>
      <c r="AB72" s="16">
        <v>0.22703637962167852</v>
      </c>
      <c r="AC72" s="47">
        <v>-87.549349304898172</v>
      </c>
      <c r="AD72" s="16">
        <v>-55.815309289828484</v>
      </c>
      <c r="AE72" s="16">
        <v>-42.109346669011181</v>
      </c>
      <c r="AF72" s="47">
        <v>1.1963017440887931</v>
      </c>
      <c r="AG72" s="16">
        <v>0.9779292035011562</v>
      </c>
      <c r="AH72" s="16">
        <v>1.0159070366468319</v>
      </c>
      <c r="AI72" s="47">
        <v>-5.3245977635621541E-2</v>
      </c>
      <c r="AJ72" s="16">
        <v>-5.3245977635621625E-2</v>
      </c>
      <c r="AK72" s="16">
        <v>-5.3245977635621923E-2</v>
      </c>
      <c r="AM72" s="16">
        <v>-260.60013815778069</v>
      </c>
      <c r="AN72" s="47">
        <v>45.689083333333336</v>
      </c>
      <c r="AO72" s="16">
        <v>2.1315</v>
      </c>
      <c r="AP72" s="16">
        <v>6.0455000000000005</v>
      </c>
      <c r="AQ72" s="16">
        <v>82.199249999999992</v>
      </c>
      <c r="AR72" s="16">
        <v>97.19</v>
      </c>
      <c r="AS72" s="47">
        <v>0.1958758356364842</v>
      </c>
      <c r="AT72" s="16">
        <v>9.1380547211496414E-3</v>
      </c>
      <c r="AU72" s="16">
        <v>2.5917949714618888E-2</v>
      </c>
      <c r="AV72" s="16">
        <v>0.35240030238679781</v>
      </c>
      <c r="AW72" s="16">
        <v>0.41666785754094937</v>
      </c>
      <c r="AX72" s="47">
        <v>-51.045269828638524</v>
      </c>
      <c r="AY72" s="16">
        <v>-2.3813783228249568</v>
      </c>
      <c r="AZ72" s="16">
        <v>-6.7542212763960947</v>
      </c>
      <c r="BA72" s="16">
        <v>-91.835567488843196</v>
      </c>
      <c r="BB72" s="16">
        <v>-108.58370124107789</v>
      </c>
      <c r="BC72" s="47">
        <v>1.1507481456766153</v>
      </c>
      <c r="BD72" s="16">
        <v>1.4077113238374128</v>
      </c>
      <c r="BE72" s="16">
        <v>1.1954373940524061</v>
      </c>
      <c r="BF72" s="16">
        <v>1.3295051391797785</v>
      </c>
      <c r="BG72" s="16">
        <v>1.3406774512737263</v>
      </c>
      <c r="BH72" s="47">
        <v>0.11723120939477212</v>
      </c>
      <c r="BI72" s="16">
        <v>0.11723120939477207</v>
      </c>
      <c r="BJ72" s="16">
        <v>0.11723120939477201</v>
      </c>
      <c r="BK72" s="16">
        <v>0.11723120939477193</v>
      </c>
      <c r="BL72" s="16">
        <v>0.11723120939477194</v>
      </c>
      <c r="BM72" s="47">
        <v>1.1767192773840247</v>
      </c>
      <c r="BN72" s="16">
        <v>1.1767192773840245</v>
      </c>
      <c r="BO72" s="16">
        <v>1.1767192773840249</v>
      </c>
      <c r="BP72" s="16">
        <v>1.1767192773840245</v>
      </c>
      <c r="BQ72" s="16">
        <v>1.1767192773840245</v>
      </c>
      <c r="BT72" s="16">
        <v>-389.30320882396381</v>
      </c>
      <c r="BU72" s="47">
        <v>0.378525</v>
      </c>
      <c r="BV72" s="16">
        <v>58.625</v>
      </c>
      <c r="BW72" s="16">
        <v>218.46510000000004</v>
      </c>
      <c r="BX72" s="16">
        <v>69.992212499999994</v>
      </c>
      <c r="BY72" s="47">
        <v>1.0894033489457643E-3</v>
      </c>
      <c r="BZ72" s="16">
        <v>0.16872405080759639</v>
      </c>
      <c r="CA72" s="16">
        <v>0.62874740523815154</v>
      </c>
      <c r="CB72" s="16">
        <v>0.20143914060530632</v>
      </c>
      <c r="CC72" s="47">
        <v>0.42410821944815841</v>
      </c>
      <c r="CD72" s="16">
        <v>65.684814385174775</v>
      </c>
      <c r="CE72" s="16">
        <v>244.77338239895352</v>
      </c>
      <c r="CF72" s="16">
        <v>78.42090382038738</v>
      </c>
      <c r="CG72" s="47">
        <v>1.1540359712875059</v>
      </c>
      <c r="CH72" s="16">
        <v>0.75068359297342613</v>
      </c>
      <c r="CI72" s="16">
        <v>2.0167618915703986</v>
      </c>
      <c r="CJ72" s="16">
        <v>0.70586666204963944</v>
      </c>
      <c r="CK72" s="47">
        <v>0.1204232730946659</v>
      </c>
      <c r="CL72" s="16">
        <v>0.10748016038800284</v>
      </c>
      <c r="CM72" s="16">
        <v>0.10748016038800293</v>
      </c>
      <c r="CN72" s="16">
        <v>0.12042327309466576</v>
      </c>
      <c r="CO72" s="47">
        <v>1.045156267838796</v>
      </c>
      <c r="CP72" s="16">
        <v>1.0451562678387958</v>
      </c>
      <c r="CQ72" s="16">
        <v>1.045156267838796</v>
      </c>
      <c r="CR72" s="16">
        <v>1.0451562678387958</v>
      </c>
      <c r="CU72" s="16">
        <v>-92.137550487400205</v>
      </c>
      <c r="CV72" s="47">
        <v>10.754666666666667</v>
      </c>
      <c r="CW72" s="47">
        <v>2.7415090648370999</v>
      </c>
      <c r="CX72" s="47">
        <v>7.5672158276159376</v>
      </c>
      <c r="CY72" s="47">
        <v>8.5672158276159376</v>
      </c>
      <c r="DB72" s="16">
        <v>-108.27006692304525</v>
      </c>
      <c r="DC72" s="52">
        <v>3.9586861763453474</v>
      </c>
      <c r="DD72" s="47">
        <v>2.1418144256709106</v>
      </c>
      <c r="DE72" s="47">
        <v>3.1418144256709106</v>
      </c>
      <c r="DF72" s="47">
        <v>3.3091034063154567</v>
      </c>
      <c r="DI72" s="16">
        <v>-60.256935991112861</v>
      </c>
      <c r="DJ72" s="47">
        <v>34.333333333333336</v>
      </c>
      <c r="DK72" s="16">
        <v>24.99</v>
      </c>
      <c r="DL72" s="47">
        <v>0.57874922739787604</v>
      </c>
      <c r="DM72" s="16">
        <v>0.4212507726021239</v>
      </c>
      <c r="DN72" s="47">
        <v>-34.87365515021984</v>
      </c>
      <c r="DO72" s="16">
        <v>-25.383280840893018</v>
      </c>
      <c r="DP72" s="47">
        <v>1.0462096545065953</v>
      </c>
      <c r="DQ72" s="16">
        <v>3.1081568376603697</v>
      </c>
      <c r="DR72" s="47">
        <v>-1.5493696160011013E-2</v>
      </c>
      <c r="DS72" s="16">
        <v>-1.5493696160010742E-2</v>
      </c>
      <c r="DV72" s="16">
        <v>-67.780055174067428</v>
      </c>
      <c r="DW72" s="47">
        <v>2.2694214902031504</v>
      </c>
      <c r="DX72" s="47">
        <v>0.34836125118656558</v>
      </c>
      <c r="DY72" s="47">
        <v>0.33286755502655485</v>
      </c>
      <c r="DZ72" s="47">
        <v>1</v>
      </c>
    </row>
    <row r="73" spans="1:130" x14ac:dyDescent="0.35">
      <c r="A73" s="13">
        <v>45047</v>
      </c>
      <c r="B73" s="47">
        <v>-65.57955708660549</v>
      </c>
      <c r="C73" s="47">
        <v>31.963999999999999</v>
      </c>
      <c r="D73" s="16">
        <v>6.7114499999999992</v>
      </c>
      <c r="E73" s="16">
        <v>34.466466666666669</v>
      </c>
      <c r="F73" s="47">
        <v>0.43701343165056966</v>
      </c>
      <c r="G73" s="16">
        <v>9.175928531633136E-2</v>
      </c>
      <c r="H73" s="16">
        <v>0.47122728303309885</v>
      </c>
      <c r="I73" s="47">
        <v>-28.659147288541899</v>
      </c>
      <c r="J73" s="16">
        <v>-6.0175332896284734</v>
      </c>
      <c r="K73" s="16">
        <v>-30.90287650843511</v>
      </c>
      <c r="L73" s="47">
        <v>1.0938605835321336</v>
      </c>
      <c r="M73" s="16">
        <v>0.90557310603889762</v>
      </c>
      <c r="N73" s="16">
        <v>0.93247131710935993</v>
      </c>
      <c r="O73" s="47">
        <v>-0.10339296431792329</v>
      </c>
      <c r="P73" s="16">
        <v>-0.10339296431792315</v>
      </c>
      <c r="Q73" s="16">
        <v>-0.10339296431792318</v>
      </c>
      <c r="R73" s="47">
        <v>1.025656087972433</v>
      </c>
      <c r="S73" s="16">
        <v>1.025656087972433</v>
      </c>
      <c r="T73" s="16">
        <v>1.0256560879724328</v>
      </c>
      <c r="V73" s="16">
        <v>-166.12672300616163</v>
      </c>
      <c r="W73" s="47">
        <v>89.283666666666662</v>
      </c>
      <c r="X73" s="16">
        <v>57.64575</v>
      </c>
      <c r="Y73" s="16">
        <v>43.108000000000004</v>
      </c>
      <c r="Z73" s="47">
        <v>0.46982151321954574</v>
      </c>
      <c r="AA73" s="16">
        <v>0.30333894772476822</v>
      </c>
      <c r="AB73" s="16">
        <v>0.22683953905568599</v>
      </c>
      <c r="AC73" s="47">
        <v>-78.049908388959182</v>
      </c>
      <c r="AD73" s="16">
        <v>-50.392705345653113</v>
      </c>
      <c r="AE73" s="16">
        <v>-37.684109271549332</v>
      </c>
      <c r="AF73" s="47">
        <v>1.0664984065901959</v>
      </c>
      <c r="AG73" s="16">
        <v>0.88292081201319517</v>
      </c>
      <c r="AH73" s="16">
        <v>0.90914618266705272</v>
      </c>
      <c r="AI73" s="47">
        <v>-0.14393044796061036</v>
      </c>
      <c r="AJ73" s="16">
        <v>-0.14393044796061014</v>
      </c>
      <c r="AK73" s="16">
        <v>-0.14393044796060983</v>
      </c>
      <c r="AM73" s="16">
        <v>-238.98148942835775</v>
      </c>
      <c r="AN73" s="47">
        <v>44.801916666666664</v>
      </c>
      <c r="AO73" s="16">
        <v>2.0638333333333336</v>
      </c>
      <c r="AP73" s="16">
        <v>5.8760000000000003</v>
      </c>
      <c r="AQ73" s="16">
        <v>79.436249999999987</v>
      </c>
      <c r="AR73" s="16">
        <v>89.09083333333335</v>
      </c>
      <c r="AS73" s="47">
        <v>0.20247730325026944</v>
      </c>
      <c r="AT73" s="16">
        <v>9.3272663042618595E-3</v>
      </c>
      <c r="AU73" s="16">
        <v>2.6555931585484624E-2</v>
      </c>
      <c r="AV73" s="16">
        <v>0.35900333907546844</v>
      </c>
      <c r="AW73" s="16">
        <v>0.40263615978451556</v>
      </c>
      <c r="AX73" s="47">
        <v>-48.388327506186656</v>
      </c>
      <c r="AY73" s="16">
        <v>-2.2290439936874331</v>
      </c>
      <c r="AZ73" s="16">
        <v>-6.3463760834566854</v>
      </c>
      <c r="BA73" s="16">
        <v>-85.795152682009189</v>
      </c>
      <c r="BB73" s="16">
        <v>-96.222589163017759</v>
      </c>
      <c r="BC73" s="47">
        <v>1.0908508924934057</v>
      </c>
      <c r="BD73" s="16">
        <v>1.3176614741009456</v>
      </c>
      <c r="BE73" s="16">
        <v>1.1232524041516259</v>
      </c>
      <c r="BF73" s="16">
        <v>1.2420579468984321</v>
      </c>
      <c r="BG73" s="16">
        <v>1.1880554274680659</v>
      </c>
      <c r="BH73" s="47">
        <v>8.0050388607332393E-2</v>
      </c>
      <c r="BI73" s="16">
        <v>8.0050388607332476E-2</v>
      </c>
      <c r="BJ73" s="16">
        <v>8.0050388607332518E-2</v>
      </c>
      <c r="BK73" s="16">
        <v>8.0050388607332323E-2</v>
      </c>
      <c r="BL73" s="16">
        <v>8.0050388607332559E-2</v>
      </c>
      <c r="BM73" s="47">
        <v>1.2355025248596168</v>
      </c>
      <c r="BN73" s="16">
        <v>1.235502524859617</v>
      </c>
      <c r="BO73" s="16">
        <v>1.2355025248596168</v>
      </c>
      <c r="BP73" s="16">
        <v>1.235502524859617</v>
      </c>
      <c r="BQ73" s="16">
        <v>1.2355025248596172</v>
      </c>
      <c r="BT73" s="16">
        <v>-371.90030261430144</v>
      </c>
      <c r="BU73" s="47">
        <v>0.37117500000000003</v>
      </c>
      <c r="BV73" s="16">
        <v>52.5</v>
      </c>
      <c r="BW73" s="16">
        <v>205.11445500000002</v>
      </c>
      <c r="BX73" s="16">
        <v>64.437274999999985</v>
      </c>
      <c r="BY73" s="47">
        <v>1.1512054331251683E-3</v>
      </c>
      <c r="BZ73" s="16">
        <v>0.16282962278998137</v>
      </c>
      <c r="CA73" s="16">
        <v>0.63616589212233543</v>
      </c>
      <c r="CB73" s="16">
        <v>0.19985327965455799</v>
      </c>
      <c r="CC73" s="47">
        <v>0.42813364895047806</v>
      </c>
      <c r="CD73" s="16">
        <v>60.556385990166625</v>
      </c>
      <c r="CE73" s="16">
        <v>236.5902877931936</v>
      </c>
      <c r="CF73" s="16">
        <v>74.325495181990732</v>
      </c>
      <c r="CG73" s="47">
        <v>1.1649895209536818</v>
      </c>
      <c r="CH73" s="16">
        <v>0.69207298274476148</v>
      </c>
      <c r="CI73" s="16">
        <v>1.9493389013977445</v>
      </c>
      <c r="CJ73" s="16">
        <v>0.66900388331993599</v>
      </c>
      <c r="CK73" s="47">
        <v>0.15345497124126911</v>
      </c>
      <c r="CL73" s="16">
        <v>0.13303941208570236</v>
      </c>
      <c r="CM73" s="16">
        <v>0.13303941208570219</v>
      </c>
      <c r="CN73" s="16">
        <v>0.15345497124126903</v>
      </c>
      <c r="CO73" s="47">
        <v>1.1424688625144901</v>
      </c>
      <c r="CP73" s="16">
        <v>1.1424688625144901</v>
      </c>
      <c r="CQ73" s="16">
        <v>1.1424688625144899</v>
      </c>
      <c r="CR73" s="16">
        <v>1.1424688625144899</v>
      </c>
      <c r="CU73" s="16">
        <v>-83.649692552600939</v>
      </c>
      <c r="CV73" s="47">
        <v>9.7464166666666667</v>
      </c>
      <c r="CW73" s="47">
        <v>2.4889568822990609</v>
      </c>
      <c r="CX73" s="47">
        <v>7.5826099389622792</v>
      </c>
      <c r="CY73" s="47">
        <v>8.5826099389622783</v>
      </c>
      <c r="DB73" s="16">
        <v>-108.10568928707467</v>
      </c>
      <c r="DC73" s="52">
        <v>3.9526760251215602</v>
      </c>
      <c r="DD73" s="47">
        <v>2.2398983812471807</v>
      </c>
      <c r="DE73" s="47">
        <v>3.2398983812471807</v>
      </c>
      <c r="DF73" s="47">
        <v>3.7062184066069439</v>
      </c>
      <c r="DI73" s="16">
        <v>-58.572385717758223</v>
      </c>
      <c r="DJ73" s="47">
        <v>33.666666666666664</v>
      </c>
      <c r="DK73" s="16">
        <v>24.33666666666667</v>
      </c>
      <c r="DL73" s="47">
        <v>0.58042641227515657</v>
      </c>
      <c r="DM73" s="16">
        <v>0.41957358772484349</v>
      </c>
      <c r="DN73" s="47">
        <v>-33.996959700555024</v>
      </c>
      <c r="DO73" s="16">
        <v>-24.575426017203199</v>
      </c>
      <c r="DP73" s="47">
        <v>1.0199087910166507</v>
      </c>
      <c r="DQ73" s="16">
        <v>3.0092358388412084</v>
      </c>
      <c r="DR73" s="47">
        <v>-9.7153697506357564E-3</v>
      </c>
      <c r="DS73" s="16">
        <v>-9.715369750636256E-3</v>
      </c>
      <c r="DV73" s="16">
        <v>-64.256720565974746</v>
      </c>
      <c r="DW73" s="47">
        <v>2.1514526975214761</v>
      </c>
      <c r="DX73" s="47">
        <v>0.38511062940543839</v>
      </c>
      <c r="DY73" s="47">
        <v>0.37539525965480214</v>
      </c>
      <c r="DZ73" s="47">
        <v>1</v>
      </c>
    </row>
    <row r="74" spans="1:130" x14ac:dyDescent="0.35">
      <c r="A74" s="13">
        <v>45078</v>
      </c>
      <c r="B74" s="47">
        <v>-59.97686884202993</v>
      </c>
      <c r="C74" s="47">
        <v>30.915999999999997</v>
      </c>
      <c r="D74" s="16">
        <v>6.5120999999999993</v>
      </c>
      <c r="E74" s="16">
        <v>34.135058333333333</v>
      </c>
      <c r="F74" s="47">
        <v>0.43200999955866493</v>
      </c>
      <c r="G74" s="16">
        <v>9.0997940164509697E-2</v>
      </c>
      <c r="H74" s="16">
        <v>0.4769920602768255</v>
      </c>
      <c r="I74" s="47">
        <v>-25.910607081975453</v>
      </c>
      <c r="J74" s="16">
        <v>-5.4577715221416856</v>
      </c>
      <c r="K74" s="16">
        <v>-28.608490237912797</v>
      </c>
      <c r="L74" s="47">
        <v>0.988954468777689</v>
      </c>
      <c r="M74" s="16">
        <v>0.8213350672899451</v>
      </c>
      <c r="N74" s="16">
        <v>0.86323991766188124</v>
      </c>
      <c r="O74" s="47">
        <v>-0.16190299256128046</v>
      </c>
      <c r="P74" s="16">
        <v>-0.16190299256128049</v>
      </c>
      <c r="Q74" s="16">
        <v>-0.16190299256128038</v>
      </c>
      <c r="R74" s="47">
        <v>0.9762417942300694</v>
      </c>
      <c r="S74" s="16">
        <v>0.97624179423006918</v>
      </c>
      <c r="T74" s="16">
        <v>0.97624179423006952</v>
      </c>
      <c r="V74" s="16">
        <v>-158.80694619817638</v>
      </c>
      <c r="W74" s="47">
        <v>86.356333333333339</v>
      </c>
      <c r="X74" s="16">
        <v>55.933500000000002</v>
      </c>
      <c r="Y74" s="16">
        <v>42.6935</v>
      </c>
      <c r="Z74" s="47">
        <v>0.46683304802234432</v>
      </c>
      <c r="AA74" s="16">
        <v>0.30237048382737181</v>
      </c>
      <c r="AB74" s="16">
        <v>0.23079646815028379</v>
      </c>
      <c r="AC74" s="47">
        <v>-74.136330740815126</v>
      </c>
      <c r="AD74" s="16">
        <v>-48.018533157089998</v>
      </c>
      <c r="AE74" s="16">
        <v>-36.652082300271246</v>
      </c>
      <c r="AF74" s="47">
        <v>1.013022055214964</v>
      </c>
      <c r="AG74" s="16">
        <v>0.84132340178869913</v>
      </c>
      <c r="AH74" s="16">
        <v>0.88424806514526533</v>
      </c>
      <c r="AI74" s="47">
        <v>-0.16483149989227339</v>
      </c>
      <c r="AJ74" s="16">
        <v>-0.16483149989227316</v>
      </c>
      <c r="AK74" s="16">
        <v>-0.16483149989227333</v>
      </c>
      <c r="AM74" s="16">
        <v>-216.96531362003057</v>
      </c>
      <c r="AN74" s="47">
        <v>43.471166666666669</v>
      </c>
      <c r="AO74" s="16">
        <v>1.9961666666666666</v>
      </c>
      <c r="AP74" s="16">
        <v>5.8195000000000006</v>
      </c>
      <c r="AQ74" s="16">
        <v>75.982500000000002</v>
      </c>
      <c r="AR74" s="16">
        <v>90.710666666666668</v>
      </c>
      <c r="AS74" s="47">
        <v>0.19942731749090131</v>
      </c>
      <c r="AT74" s="16">
        <v>9.157567972596873E-3</v>
      </c>
      <c r="AU74" s="16">
        <v>2.6697403431507477E-2</v>
      </c>
      <c r="AV74" s="16">
        <v>0.34857555739058627</v>
      </c>
      <c r="AW74" s="16">
        <v>0.41614215371440805</v>
      </c>
      <c r="AX74" s="47">
        <v>-43.268810483814811</v>
      </c>
      <c r="AY74" s="16">
        <v>-1.986874607171228</v>
      </c>
      <c r="AZ74" s="16">
        <v>-5.7924105083575004</v>
      </c>
      <c r="BA74" s="16">
        <v>-75.628805129525517</v>
      </c>
      <c r="BB74" s="16">
        <v>-90.288412891161514</v>
      </c>
      <c r="BC74" s="47">
        <v>0.97543814729621969</v>
      </c>
      <c r="BD74" s="16">
        <v>1.174507156948509</v>
      </c>
      <c r="BE74" s="16">
        <v>1.0252053997092923</v>
      </c>
      <c r="BF74" s="16">
        <v>1.0948795530875934</v>
      </c>
      <c r="BG74" s="16">
        <v>1.1147864540528225</v>
      </c>
      <c r="BH74" s="47">
        <v>-4.6549517385513156E-3</v>
      </c>
      <c r="BI74" s="16">
        <v>-4.6549517385516036E-3</v>
      </c>
      <c r="BJ74" s="16">
        <v>-4.6549517385512358E-3</v>
      </c>
      <c r="BK74" s="16">
        <v>-4.6549517385515004E-3</v>
      </c>
      <c r="BL74" s="16">
        <v>-4.6549517385514284E-3</v>
      </c>
      <c r="BM74" s="47">
        <v>1.1594092654767301</v>
      </c>
      <c r="BN74" s="16">
        <v>1.1594092654767301</v>
      </c>
      <c r="BO74" s="16">
        <v>1.1594092654767305</v>
      </c>
      <c r="BP74" s="16">
        <v>1.1594092654767301</v>
      </c>
      <c r="BQ74" s="16">
        <v>1.1594092654767303</v>
      </c>
      <c r="BT74" s="16">
        <v>-359.61532722095842</v>
      </c>
      <c r="BU74" s="47">
        <v>0.36014999999999997</v>
      </c>
      <c r="BV74" s="16">
        <v>49.875</v>
      </c>
      <c r="BW74" s="16">
        <v>202.68706500000005</v>
      </c>
      <c r="BX74" s="16">
        <v>66.65925</v>
      </c>
      <c r="BY74" s="47">
        <v>1.1269427030131422E-3</v>
      </c>
      <c r="BZ74" s="16">
        <v>0.15606349385750515</v>
      </c>
      <c r="CA74" s="16">
        <v>0.63422659696487726</v>
      </c>
      <c r="CB74" s="16">
        <v>0.2085829664746045</v>
      </c>
      <c r="CC74" s="47">
        <v>0.40526586890334249</v>
      </c>
      <c r="CD74" s="16">
        <v>56.122824410812747</v>
      </c>
      <c r="CE74" s="16">
        <v>228.07760519975926</v>
      </c>
      <c r="CF74" s="16">
        <v>75.009631741483105</v>
      </c>
      <c r="CG74" s="47">
        <v>1.1027642691247415</v>
      </c>
      <c r="CH74" s="16">
        <v>0.64140370755214571</v>
      </c>
      <c r="CI74" s="16">
        <v>1.8792003361615497</v>
      </c>
      <c r="CJ74" s="16">
        <v>0.67516179742331128</v>
      </c>
      <c r="CK74" s="47">
        <v>0.12526966237218518</v>
      </c>
      <c r="CL74" s="16">
        <v>0.11132412661699602</v>
      </c>
      <c r="CM74" s="16">
        <v>0.11132412661699598</v>
      </c>
      <c r="CN74" s="16">
        <v>0.12526966237218551</v>
      </c>
      <c r="CO74" s="47">
        <v>1.1697873979212381</v>
      </c>
      <c r="CP74" s="16">
        <v>1.1697873979212385</v>
      </c>
      <c r="CQ74" s="16">
        <v>1.1697873979212383</v>
      </c>
      <c r="CR74" s="16">
        <v>1.1697873979212383</v>
      </c>
      <c r="CU74" s="16">
        <v>-84.525657638534426</v>
      </c>
      <c r="CV74" s="47">
        <v>8.7381666666666664</v>
      </c>
      <c r="CW74" s="47">
        <v>2.5150208074942055</v>
      </c>
      <c r="CX74" s="47">
        <v>8.6731569519007916</v>
      </c>
      <c r="CY74" s="47">
        <v>9.6731569519007916</v>
      </c>
      <c r="DB74" s="16">
        <v>-108.15615455615</v>
      </c>
      <c r="DC74" s="52">
        <v>3.9545211903528337</v>
      </c>
      <c r="DD74" s="47">
        <v>2.3512891443668087</v>
      </c>
      <c r="DE74" s="47">
        <v>3.3512891443668087</v>
      </c>
      <c r="DF74" s="47">
        <v>3.9036871606054828</v>
      </c>
      <c r="DI74" s="16">
        <v>-57.607288402921647</v>
      </c>
      <c r="DJ74" s="47">
        <v>31.333333333333332</v>
      </c>
      <c r="DK74" s="16">
        <v>24.254999999999999</v>
      </c>
      <c r="DL74" s="47">
        <v>0.5636674362126346</v>
      </c>
      <c r="DM74" s="16">
        <v>0.43633256378736546</v>
      </c>
      <c r="DN74" s="47">
        <v>-32.471352561236685</v>
      </c>
      <c r="DO74" s="16">
        <v>-25.135935841684969</v>
      </c>
      <c r="DP74" s="47">
        <v>0.97414057683710054</v>
      </c>
      <c r="DQ74" s="16">
        <v>3.0778696949002002</v>
      </c>
      <c r="DR74" s="47">
        <v>-3.5046868643897694E-2</v>
      </c>
      <c r="DS74" s="16">
        <v>-3.5046868643897451E-2</v>
      </c>
      <c r="DV74" s="16">
        <v>-69.530821038654864</v>
      </c>
      <c r="DW74" s="47">
        <v>2.3280408829906762</v>
      </c>
      <c r="DX74" s="47">
        <v>0.27575079187812312</v>
      </c>
      <c r="DY74" s="47">
        <v>0.24070392323422568</v>
      </c>
      <c r="DZ74" s="47">
        <v>1.0036884669082486</v>
      </c>
    </row>
    <row r="75" spans="1:130" x14ac:dyDescent="0.35">
      <c r="A75" s="13">
        <v>45108</v>
      </c>
      <c r="B75" s="47">
        <v>-51.818247334948424</v>
      </c>
      <c r="C75" s="47">
        <v>31.177999999999997</v>
      </c>
      <c r="D75" s="16">
        <v>6.5785499999999999</v>
      </c>
      <c r="E75" s="16">
        <v>34.135058333333333</v>
      </c>
      <c r="F75" s="47">
        <v>0.43368065790710625</v>
      </c>
      <c r="G75" s="16">
        <v>9.1506507539765025E-2</v>
      </c>
      <c r="H75" s="16">
        <v>0.47481283455312884</v>
      </c>
      <c r="I75" s="47">
        <v>-22.472571595813587</v>
      </c>
      <c r="J75" s="16">
        <v>-4.7417068404528671</v>
      </c>
      <c r="K75" s="16">
        <v>-24.603968898681977</v>
      </c>
      <c r="L75" s="47">
        <v>0.85773174029822852</v>
      </c>
      <c r="M75" s="16">
        <v>0.713575145290123</v>
      </c>
      <c r="N75" s="16">
        <v>0.74240646429174417</v>
      </c>
      <c r="O75" s="47">
        <v>-0.27921702495947182</v>
      </c>
      <c r="P75" s="16">
        <v>-0.2792170249594717</v>
      </c>
      <c r="Q75" s="16">
        <v>-0.2792170249594717</v>
      </c>
      <c r="R75" s="47">
        <v>0.84813745067383639</v>
      </c>
      <c r="S75" s="16">
        <v>0.8481374506738365</v>
      </c>
      <c r="T75" s="16">
        <v>0.84813745067383639</v>
      </c>
      <c r="V75" s="16">
        <v>-158.31362842953632</v>
      </c>
      <c r="W75" s="47">
        <v>87.088166666666666</v>
      </c>
      <c r="X75" s="16">
        <v>56.504249999999992</v>
      </c>
      <c r="Y75" s="16">
        <v>42.6935</v>
      </c>
      <c r="Z75" s="47">
        <v>0.46749731930889393</v>
      </c>
      <c r="AA75" s="16">
        <v>0.30332003090231813</v>
      </c>
      <c r="AB75" s="16">
        <v>0.22918264978878797</v>
      </c>
      <c r="AC75" s="47">
        <v>-74.011196900872534</v>
      </c>
      <c r="AD75" s="16">
        <v>-48.019694667505064</v>
      </c>
      <c r="AE75" s="16">
        <v>-36.282736861158732</v>
      </c>
      <c r="AF75" s="47">
        <v>1.0113121872130155</v>
      </c>
      <c r="AG75" s="16">
        <v>0.84134375238729864</v>
      </c>
      <c r="AH75" s="16">
        <v>0.87533743935244224</v>
      </c>
      <c r="AI75" s="47">
        <v>-0.17668907291566824</v>
      </c>
      <c r="AJ75" s="16">
        <v>-0.17668907291566827</v>
      </c>
      <c r="AK75" s="16">
        <v>-0.17668907291566802</v>
      </c>
      <c r="AM75" s="16">
        <v>-187.70893669763547</v>
      </c>
      <c r="AN75" s="47">
        <v>43.914749999999998</v>
      </c>
      <c r="AO75" s="16">
        <v>2.0130833333333333</v>
      </c>
      <c r="AP75" s="16">
        <v>5.8195000000000006</v>
      </c>
      <c r="AQ75" s="16">
        <v>75.982500000000002</v>
      </c>
      <c r="AR75" s="16">
        <v>96.380083333333332</v>
      </c>
      <c r="AS75" s="47">
        <v>0.19595183762134577</v>
      </c>
      <c r="AT75" s="16">
        <v>8.9825714242155724E-3</v>
      </c>
      <c r="AU75" s="16">
        <v>2.5967168640090674E-2</v>
      </c>
      <c r="AV75" s="16">
        <v>0.33904122195990882</v>
      </c>
      <c r="AW75" s="16">
        <v>0.43005720035443917</v>
      </c>
      <c r="AX75" s="47">
        <v>-36.781911083850538</v>
      </c>
      <c r="AY75" s="16">
        <v>-1.6861089308500701</v>
      </c>
      <c r="AZ75" s="16">
        <v>-4.8742696144796049</v>
      </c>
      <c r="BA75" s="16">
        <v>-63.641067270761503</v>
      </c>
      <c r="BB75" s="16">
        <v>-80.725579797693754</v>
      </c>
      <c r="BC75" s="47">
        <v>0.82919957356041052</v>
      </c>
      <c r="BD75" s="16">
        <v>0.99671463892614975</v>
      </c>
      <c r="BE75" s="16">
        <v>0.86270258663355848</v>
      </c>
      <c r="BF75" s="16">
        <v>0.92133285951156718</v>
      </c>
      <c r="BG75" s="16">
        <v>0.99671463892614987</v>
      </c>
      <c r="BH75" s="47">
        <v>-0.16242467317130249</v>
      </c>
      <c r="BI75" s="16">
        <v>-0.16242467317130269</v>
      </c>
      <c r="BJ75" s="16">
        <v>-0.16242467317130246</v>
      </c>
      <c r="BK75" s="16">
        <v>-0.16242467317130263</v>
      </c>
      <c r="BL75" s="16">
        <v>-0.1624246731713026</v>
      </c>
      <c r="BM75" s="47">
        <v>0.98556573482309795</v>
      </c>
      <c r="BN75" s="16">
        <v>0.98556573482309773</v>
      </c>
      <c r="BO75" s="16">
        <v>0.98556573482309773</v>
      </c>
      <c r="BP75" s="16">
        <v>0.98556573482309784</v>
      </c>
      <c r="BQ75" s="16">
        <v>0.98556573482309773</v>
      </c>
      <c r="BT75" s="16">
        <v>-353.13463216476794</v>
      </c>
      <c r="BU75" s="47">
        <v>0.36382500000000001</v>
      </c>
      <c r="BV75" s="16">
        <v>49.875</v>
      </c>
      <c r="BW75" s="16">
        <v>218.46510000000004</v>
      </c>
      <c r="BX75" s="16">
        <v>66.65925</v>
      </c>
      <c r="BY75" s="47">
        <v>1.0848686651419017E-3</v>
      </c>
      <c r="BZ75" s="16">
        <v>0.14871936968034727</v>
      </c>
      <c r="CA75" s="16">
        <v>0.6514284104091036</v>
      </c>
      <c r="CB75" s="16">
        <v>0.19876735124540731</v>
      </c>
      <c r="CC75" s="47">
        <v>0.38310469701196825</v>
      </c>
      <c r="CD75" s="16">
        <v>52.517959907845572</v>
      </c>
      <c r="CE75" s="16">
        <v>230.0419320914983</v>
      </c>
      <c r="CF75" s="16">
        <v>70.191635468412144</v>
      </c>
      <c r="CG75" s="47">
        <v>1.0424617605767843</v>
      </c>
      <c r="CH75" s="16">
        <v>0.60020525608966369</v>
      </c>
      <c r="CI75" s="16">
        <v>1.8953850192305173</v>
      </c>
      <c r="CJ75" s="16">
        <v>0.6317950064101725</v>
      </c>
      <c r="CK75" s="47">
        <v>5.2991677350287182E-2</v>
      </c>
      <c r="CL75" s="16">
        <v>5.0324877670100611E-2</v>
      </c>
      <c r="CM75" s="16">
        <v>5.0324877670100694E-2</v>
      </c>
      <c r="CN75" s="16">
        <v>5.2991677350287536E-2</v>
      </c>
      <c r="CO75" s="47">
        <v>1.1832440053905398</v>
      </c>
      <c r="CP75" s="16">
        <v>1.1832440053905398</v>
      </c>
      <c r="CQ75" s="16">
        <v>1.18324400539054</v>
      </c>
      <c r="CR75" s="16">
        <v>1.1832440053905402</v>
      </c>
      <c r="CU75" s="16">
        <v>-82.201614612528545</v>
      </c>
      <c r="CV75" s="47">
        <v>7.3938333333333333</v>
      </c>
      <c r="CW75" s="47">
        <v>2.4458700107868645</v>
      </c>
      <c r="CX75" s="47">
        <v>10.117590958122111</v>
      </c>
      <c r="CY75" s="47">
        <v>11.117590958122111</v>
      </c>
      <c r="DB75" s="16">
        <v>-108.07113027119102</v>
      </c>
      <c r="DC75" s="52">
        <v>3.9514124413598184</v>
      </c>
      <c r="DD75" s="47">
        <v>2.3205146566048898</v>
      </c>
      <c r="DE75" s="47">
        <v>3.3205146566048898</v>
      </c>
      <c r="DF75" s="47">
        <v>3.9072133128832958</v>
      </c>
      <c r="DI75" s="16">
        <v>-56.465196589212475</v>
      </c>
      <c r="DJ75" s="47">
        <v>31.666666666666668</v>
      </c>
      <c r="DK75" s="16">
        <v>25.071666666666662</v>
      </c>
      <c r="DL75" s="47">
        <v>0.55811767470551954</v>
      </c>
      <c r="DM75" s="16">
        <v>0.44188232529448046</v>
      </c>
      <c r="DN75" s="47">
        <v>-31.5142242221613</v>
      </c>
      <c r="DO75" s="16">
        <v>-24.950972367051175</v>
      </c>
      <c r="DP75" s="47">
        <v>0.94542672666483907</v>
      </c>
      <c r="DQ75" s="16">
        <v>3.0552211061695314</v>
      </c>
      <c r="DR75" s="47">
        <v>4.837258357708929E-3</v>
      </c>
      <c r="DS75" s="16">
        <v>4.8372583577093228E-3</v>
      </c>
      <c r="DV75" s="16">
        <v>-69.915221554425528</v>
      </c>
      <c r="DW75" s="47">
        <v>2.340911435974069</v>
      </c>
      <c r="DX75" s="47">
        <v>0.3114549968963487</v>
      </c>
      <c r="DY75" s="47">
        <v>0.31629225525405802</v>
      </c>
      <c r="DZ75" s="47">
        <v>1.0238303489439899</v>
      </c>
    </row>
    <row r="76" spans="1:130" x14ac:dyDescent="0.35">
      <c r="A76" s="13">
        <v>45139</v>
      </c>
      <c r="B76" s="47">
        <v>-58.56961621502721</v>
      </c>
      <c r="C76" s="47">
        <v>30.129999999999995</v>
      </c>
      <c r="D76" s="16">
        <v>6.5120999999999993</v>
      </c>
      <c r="E76" s="16">
        <v>32.478016666666669</v>
      </c>
      <c r="F76" s="47">
        <v>0.43590782905217895</v>
      </c>
      <c r="G76" s="16">
        <v>9.4214250699326069E-2</v>
      </c>
      <c r="H76" s="16">
        <v>0.46987792024849501</v>
      </c>
      <c r="I76" s="47">
        <v>-25.530954252711808</v>
      </c>
      <c r="J76" s="16">
        <v>-5.5180925054458871</v>
      </c>
      <c r="K76" s="16">
        <v>-27.520569456869517</v>
      </c>
      <c r="L76" s="47">
        <v>0.97446390277525996</v>
      </c>
      <c r="M76" s="16">
        <v>0.830412717147613</v>
      </c>
      <c r="N76" s="16">
        <v>0.830412717147613</v>
      </c>
      <c r="O76" s="47">
        <v>-0.15264008454325215</v>
      </c>
      <c r="P76" s="16">
        <v>-0.15264008454325204</v>
      </c>
      <c r="Q76" s="16">
        <v>-0.15264008454325204</v>
      </c>
      <c r="R76" s="47">
        <v>0.91840024640141737</v>
      </c>
      <c r="S76" s="16">
        <v>0.91840024640141737</v>
      </c>
      <c r="T76" s="16">
        <v>0.91840024640141771</v>
      </c>
      <c r="V76" s="16">
        <v>-166.73659461121306</v>
      </c>
      <c r="W76" s="47">
        <v>84.160833333333329</v>
      </c>
      <c r="X76" s="16">
        <v>55.933500000000002</v>
      </c>
      <c r="Y76" s="16">
        <v>40.620999999999995</v>
      </c>
      <c r="Z76" s="47">
        <v>0.46570942144735922</v>
      </c>
      <c r="AA76" s="16">
        <v>0.30951164446477519</v>
      </c>
      <c r="AB76" s="16">
        <v>0.22477893408786562</v>
      </c>
      <c r="AC76" s="47">
        <v>-77.650803010490904</v>
      </c>
      <c r="AD76" s="16">
        <v>-51.606917590573133</v>
      </c>
      <c r="AE76" s="16">
        <v>-37.478874010149028</v>
      </c>
      <c r="AF76" s="47">
        <v>1.0610449056318503</v>
      </c>
      <c r="AG76" s="16">
        <v>0.90419478914714213</v>
      </c>
      <c r="AH76" s="16">
        <v>0.9041947891471418</v>
      </c>
      <c r="AI76" s="47">
        <v>-8.3837256930400172E-2</v>
      </c>
      <c r="AJ76" s="16">
        <v>-8.3837256930400048E-2</v>
      </c>
      <c r="AK76" s="16">
        <v>-8.383725693040045E-2</v>
      </c>
      <c r="AM76" s="16">
        <v>-209.53275146633047</v>
      </c>
      <c r="AN76" s="47">
        <v>43.471166666666669</v>
      </c>
      <c r="AO76" s="16">
        <v>1.9454166666666666</v>
      </c>
      <c r="AP76" s="16">
        <v>5.5369999999999999</v>
      </c>
      <c r="AQ76" s="16">
        <v>75.982500000000002</v>
      </c>
      <c r="AR76" s="16">
        <v>97.19</v>
      </c>
      <c r="AS76" s="47">
        <v>0.19395853450048392</v>
      </c>
      <c r="AT76" s="16">
        <v>8.680010098482514E-3</v>
      </c>
      <c r="AU76" s="16">
        <v>2.4704844334271669E-2</v>
      </c>
      <c r="AV76" s="16">
        <v>0.33901676623239974</v>
      </c>
      <c r="AW76" s="16">
        <v>0.43363984483436219</v>
      </c>
      <c r="AX76" s="47">
        <v>-40.640665404263579</v>
      </c>
      <c r="AY76" s="16">
        <v>-1.8187463986905752</v>
      </c>
      <c r="AZ76" s="16">
        <v>-5.1764740079073279</v>
      </c>
      <c r="BA76" s="16">
        <v>-71.035115821892475</v>
      </c>
      <c r="BB76" s="16">
        <v>-90.861749833576525</v>
      </c>
      <c r="BC76" s="47">
        <v>0.91619008989510231</v>
      </c>
      <c r="BD76" s="16">
        <v>1.0751210238564974</v>
      </c>
      <c r="BE76" s="16">
        <v>0.91619008989510231</v>
      </c>
      <c r="BF76" s="16">
        <v>1.028376631514911</v>
      </c>
      <c r="BG76" s="16">
        <v>1.1218654161980846</v>
      </c>
      <c r="BH76" s="47">
        <v>-6.5112153168262937E-2</v>
      </c>
      <c r="BI76" s="16">
        <v>-6.5112153168263021E-2</v>
      </c>
      <c r="BJ76" s="16">
        <v>-6.5112153168262937E-2</v>
      </c>
      <c r="BK76" s="16">
        <v>-6.5112153168262812E-2</v>
      </c>
      <c r="BL76" s="16">
        <v>-6.511215316826284E-2</v>
      </c>
      <c r="BM76" s="47">
        <v>1.0132662794476779</v>
      </c>
      <c r="BN76" s="16">
        <v>1.0132662794476781</v>
      </c>
      <c r="BO76" s="16">
        <v>1.0132662794476783</v>
      </c>
      <c r="BP76" s="16">
        <v>1.0132662794476781</v>
      </c>
      <c r="BQ76" s="16">
        <v>1.0132662794476783</v>
      </c>
      <c r="BT76" s="16">
        <v>-355.7719722446833</v>
      </c>
      <c r="BU76" s="47">
        <v>0.36014999999999997</v>
      </c>
      <c r="BV76" s="16">
        <v>52.5</v>
      </c>
      <c r="BW76" s="16">
        <v>233.02944000000002</v>
      </c>
      <c r="BX76" s="16">
        <v>72.214187499999994</v>
      </c>
      <c r="BY76" s="47">
        <v>1.005714048911422E-3</v>
      </c>
      <c r="BZ76" s="16">
        <v>0.14660554648854549</v>
      </c>
      <c r="CA76" s="16">
        <v>0.65073158855466151</v>
      </c>
      <c r="CB76" s="16">
        <v>0.20165715090788172</v>
      </c>
      <c r="CC76" s="47">
        <v>0.35780487069540251</v>
      </c>
      <c r="CD76" s="16">
        <v>52.158144416239431</v>
      </c>
      <c r="CE76" s="16">
        <v>231.51206066200771</v>
      </c>
      <c r="CF76" s="16">
        <v>71.743962295740801</v>
      </c>
      <c r="CG76" s="47">
        <v>0.97361869576980264</v>
      </c>
      <c r="CH76" s="16">
        <v>0.59609307904273634</v>
      </c>
      <c r="CI76" s="16">
        <v>1.9074978529367566</v>
      </c>
      <c r="CJ76" s="16">
        <v>0.64576750229629765</v>
      </c>
      <c r="CK76" s="47">
        <v>-6.5115349287727933E-3</v>
      </c>
      <c r="CL76" s="16">
        <v>-6.5542129151000168E-3</v>
      </c>
      <c r="CM76" s="16">
        <v>-6.5542129150998763E-3</v>
      </c>
      <c r="CN76" s="16">
        <v>-6.5115349287728861E-3</v>
      </c>
      <c r="CO76" s="47">
        <v>1.0832489476164366</v>
      </c>
      <c r="CP76" s="16">
        <v>1.0832489476164369</v>
      </c>
      <c r="CQ76" s="16">
        <v>1.0832489476164371</v>
      </c>
      <c r="CR76" s="16">
        <v>1.0832489476164366</v>
      </c>
      <c r="CU76" s="16">
        <v>-86.475537563940534</v>
      </c>
      <c r="CV76" s="47">
        <v>8.4020833333333336</v>
      </c>
      <c r="CW76" s="47">
        <v>2.5730385588080495</v>
      </c>
      <c r="CX76" s="47">
        <v>9.2921542352321982</v>
      </c>
      <c r="CY76" s="47">
        <v>10.292154235232198</v>
      </c>
      <c r="DB76" s="16">
        <v>-108.17696360064411</v>
      </c>
      <c r="DC76" s="52">
        <v>3.9552820329303153</v>
      </c>
      <c r="DD76" s="47">
        <v>2.4393756808089702</v>
      </c>
      <c r="DE76" s="47">
        <v>3.4393756808089702</v>
      </c>
      <c r="DF76" s="47">
        <v>3.7277235034411222</v>
      </c>
      <c r="DI76" s="16">
        <v>-53.98806353726026</v>
      </c>
      <c r="DJ76" s="47">
        <v>31</v>
      </c>
      <c r="DK76" s="16">
        <v>24.581666666666663</v>
      </c>
      <c r="DL76" s="47">
        <v>0.55773786320429397</v>
      </c>
      <c r="DM76" s="16">
        <v>0.44226213679570597</v>
      </c>
      <c r="DN76" s="47">
        <v>-30.111187195809194</v>
      </c>
      <c r="DO76" s="16">
        <v>-23.876876341451062</v>
      </c>
      <c r="DP76" s="47">
        <v>0.9033356158742758</v>
      </c>
      <c r="DQ76" s="16">
        <v>2.9236991438511506</v>
      </c>
      <c r="DR76" s="47">
        <v>2.9517693819608389E-2</v>
      </c>
      <c r="DS76" s="16">
        <v>2.9517693819608302E-2</v>
      </c>
      <c r="DV76" s="16">
        <v>-72.577370351438944</v>
      </c>
      <c r="DW76" s="47">
        <v>2.4300458823026432</v>
      </c>
      <c r="DX76" s="47">
        <v>0.23865973968681134</v>
      </c>
      <c r="DY76" s="47">
        <v>0.26817743350641965</v>
      </c>
      <c r="DZ76" s="47">
        <v>1.0320341287126702</v>
      </c>
    </row>
    <row r="77" spans="1:130" x14ac:dyDescent="0.35">
      <c r="A77" s="13">
        <v>45170</v>
      </c>
      <c r="B77" s="47">
        <v>-60.706481475637013</v>
      </c>
      <c r="C77" s="47">
        <v>29.343999999999998</v>
      </c>
      <c r="D77" s="16">
        <v>6.3792</v>
      </c>
      <c r="E77" s="16">
        <v>31.815200000000001</v>
      </c>
      <c r="F77" s="47">
        <v>0.43447875578929912</v>
      </c>
      <c r="G77" s="16">
        <v>9.4452933442308387E-2</v>
      </c>
      <c r="H77" s="16">
        <v>0.47106831076839256</v>
      </c>
      <c r="I77" s="47">
        <v>-26.375676539880903</v>
      </c>
      <c r="J77" s="16">
        <v>-5.7339052543350695</v>
      </c>
      <c r="K77" s="16">
        <v>-28.596899681421043</v>
      </c>
      <c r="L77" s="47">
        <v>1.0067052114458361</v>
      </c>
      <c r="M77" s="16">
        <v>0.86289018123928818</v>
      </c>
      <c r="N77" s="16">
        <v>0.86289018123928818</v>
      </c>
      <c r="O77" s="47">
        <v>-0.10115606120907497</v>
      </c>
      <c r="P77" s="16">
        <v>-0.10115606120907478</v>
      </c>
      <c r="Q77" s="16">
        <v>-0.10115606120907478</v>
      </c>
      <c r="R77" s="47">
        <v>0.89684221635254302</v>
      </c>
      <c r="S77" s="16">
        <v>0.89684221635254335</v>
      </c>
      <c r="T77" s="16">
        <v>0.89684221635254324</v>
      </c>
      <c r="V77" s="16">
        <v>-176.94338566000906</v>
      </c>
      <c r="W77" s="47">
        <v>81.965333333333348</v>
      </c>
      <c r="X77" s="16">
        <v>54.791999999999994</v>
      </c>
      <c r="Y77" s="16">
        <v>39.791999999999994</v>
      </c>
      <c r="Z77" s="47">
        <v>0.4642630577289068</v>
      </c>
      <c r="AA77" s="16">
        <v>0.31034951514968423</v>
      </c>
      <c r="AB77" s="16">
        <v>0.22538742712140888</v>
      </c>
      <c r="AC77" s="47">
        <v>-82.148277271421009</v>
      </c>
      <c r="AD77" s="16">
        <v>-54.914293948527401</v>
      </c>
      <c r="AE77" s="16">
        <v>-39.880814440060639</v>
      </c>
      <c r="AF77" s="47">
        <v>1.1224998032988522</v>
      </c>
      <c r="AG77" s="16">
        <v>0.96214268854187301</v>
      </c>
      <c r="AH77" s="16">
        <v>0.96214268854187313</v>
      </c>
      <c r="AI77" s="47">
        <v>2.2269966475767741E-3</v>
      </c>
      <c r="AJ77" s="16">
        <v>2.2269966475765607E-3</v>
      </c>
      <c r="AK77" s="16">
        <v>2.2269966475766756E-3</v>
      </c>
      <c r="AM77" s="16">
        <v>-216.82829106533163</v>
      </c>
      <c r="AN77" s="47">
        <v>42.583999999999996</v>
      </c>
      <c r="AO77" s="16">
        <v>1.8946666666666669</v>
      </c>
      <c r="AP77" s="16">
        <v>5.4239999999999995</v>
      </c>
      <c r="AQ77" s="16">
        <v>76.67325000000001</v>
      </c>
      <c r="AR77" s="16">
        <v>99.619749999999996</v>
      </c>
      <c r="AS77" s="47">
        <v>0.1882617851506144</v>
      </c>
      <c r="AT77" s="16">
        <v>8.3762288402224033E-3</v>
      </c>
      <c r="AU77" s="16">
        <v>2.3979239213247523E-2</v>
      </c>
      <c r="AV77" s="16">
        <v>0.33896869524467754</v>
      </c>
      <c r="AW77" s="16">
        <v>0.44041405155123803</v>
      </c>
      <c r="AX77" s="47">
        <v>-40.820481147116347</v>
      </c>
      <c r="AY77" s="16">
        <v>-1.8162033849975685</v>
      </c>
      <c r="AZ77" s="16">
        <v>-5.1993774596552473</v>
      </c>
      <c r="BA77" s="16">
        <v>-73.498002914548636</v>
      </c>
      <c r="BB77" s="16">
        <v>-95.494226159013806</v>
      </c>
      <c r="BC77" s="47">
        <v>0.92024379816907043</v>
      </c>
      <c r="BD77" s="16">
        <v>1.0736177645305824</v>
      </c>
      <c r="BE77" s="16">
        <v>0.92024379816907043</v>
      </c>
      <c r="BF77" s="16">
        <v>1.0640318916329878</v>
      </c>
      <c r="BG77" s="16">
        <v>1.1790623664041213</v>
      </c>
      <c r="BH77" s="47">
        <v>-4.1412710240551605E-2</v>
      </c>
      <c r="BI77" s="16">
        <v>-4.141271024055148E-2</v>
      </c>
      <c r="BJ77" s="16">
        <v>-4.1412710240551605E-2</v>
      </c>
      <c r="BK77" s="16">
        <v>-4.1412710240551584E-2</v>
      </c>
      <c r="BL77" s="16">
        <v>-4.1412710240551757E-2</v>
      </c>
      <c r="BM77" s="47">
        <v>0.95645251907874462</v>
      </c>
      <c r="BN77" s="16">
        <v>0.95645251907874451</v>
      </c>
      <c r="BO77" s="16">
        <v>0.95645251907874451</v>
      </c>
      <c r="BP77" s="16">
        <v>0.95645251907874451</v>
      </c>
      <c r="BQ77" s="16">
        <v>0.95645251907874429</v>
      </c>
      <c r="BT77" s="16">
        <v>-360.96065388103233</v>
      </c>
      <c r="BU77" s="47">
        <v>0.3528</v>
      </c>
      <c r="BV77" s="16">
        <v>56</v>
      </c>
      <c r="BW77" s="16">
        <v>240.31161000000006</v>
      </c>
      <c r="BX77" s="16">
        <v>75.547150000000002</v>
      </c>
      <c r="BY77" s="47">
        <v>9.4784804641747267E-4</v>
      </c>
      <c r="BZ77" s="16">
        <v>0.1504520708599163</v>
      </c>
      <c r="CA77" s="16">
        <v>0.64563177457465326</v>
      </c>
      <c r="CB77" s="16">
        <v>0.20296830651901296</v>
      </c>
      <c r="CC77" s="47">
        <v>0.34213585061471002</v>
      </c>
      <c r="CD77" s="16">
        <v>54.307277875350799</v>
      </c>
      <c r="CE77" s="16">
        <v>233.04766751683812</v>
      </c>
      <c r="CF77" s="16">
        <v>73.263572638228709</v>
      </c>
      <c r="CG77" s="47">
        <v>0.93098190643458512</v>
      </c>
      <c r="CH77" s="16">
        <v>0.62065460428972341</v>
      </c>
      <c r="CI77" s="16">
        <v>1.9201501820213323</v>
      </c>
      <c r="CJ77" s="16">
        <v>0.65944551705783105</v>
      </c>
      <c r="CK77" s="47">
        <v>-3.0227180797307136E-2</v>
      </c>
      <c r="CL77" s="16">
        <v>-3.1169342137428363E-2</v>
      </c>
      <c r="CM77" s="16">
        <v>-3.1169342137428092E-2</v>
      </c>
      <c r="CN77" s="16">
        <v>-3.0227180797307341E-2</v>
      </c>
      <c r="CO77" s="47">
        <v>0.99692663672377146</v>
      </c>
      <c r="CP77" s="16">
        <v>0.99692663672377135</v>
      </c>
      <c r="CQ77" s="16">
        <v>0.99692663672377169</v>
      </c>
      <c r="CR77" s="16">
        <v>0.99692663672377124</v>
      </c>
      <c r="CU77" s="16">
        <v>-87.437243503059818</v>
      </c>
      <c r="CV77" s="47">
        <v>8.7381666666666664</v>
      </c>
      <c r="CW77" s="47">
        <v>2.6016536623771827</v>
      </c>
      <c r="CX77" s="47">
        <v>9.0063602399122402</v>
      </c>
      <c r="CY77" s="47">
        <v>10.00636023991224</v>
      </c>
      <c r="DB77" s="16">
        <v>-108.20348032837261</v>
      </c>
      <c r="DC77" s="52">
        <v>3.9562515659368414</v>
      </c>
      <c r="DD77" s="47">
        <v>2.5323674695864651</v>
      </c>
      <c r="DE77" s="47">
        <v>3.5323674695864651</v>
      </c>
      <c r="DF77" s="47">
        <v>3.5245008990736868</v>
      </c>
      <c r="DI77" s="16">
        <v>-52.97877218820539</v>
      </c>
      <c r="DJ77" s="47">
        <v>30.666666666666668</v>
      </c>
      <c r="DK77" s="16">
        <v>24.418333333333337</v>
      </c>
      <c r="DL77" s="47">
        <v>0.55671537926235204</v>
      </c>
      <c r="DM77" s="16">
        <v>0.44328462073764785</v>
      </c>
      <c r="DN77" s="47">
        <v>-29.494097251610512</v>
      </c>
      <c r="DO77" s="16">
        <v>-23.484674936594871</v>
      </c>
      <c r="DP77" s="47">
        <v>0.88482291754831532</v>
      </c>
      <c r="DQ77" s="16">
        <v>2.875674482032025</v>
      </c>
      <c r="DR77" s="47">
        <v>3.9756070682655992E-2</v>
      </c>
      <c r="DS77" s="16">
        <v>3.9756070682655936E-2</v>
      </c>
      <c r="DV77" s="16">
        <v>-71.956065000686181</v>
      </c>
      <c r="DW77" s="47">
        <v>2.4092432477908319</v>
      </c>
      <c r="DX77" s="47">
        <v>0.24105359753179603</v>
      </c>
      <c r="DY77" s="47">
        <v>0.28080966821445197</v>
      </c>
      <c r="DZ77" s="47">
        <v>1.0623006558255439</v>
      </c>
    </row>
    <row r="78" spans="1:130" x14ac:dyDescent="0.35">
      <c r="A78" s="13">
        <v>45200</v>
      </c>
      <c r="B78" s="47">
        <v>-70.20742413428512</v>
      </c>
      <c r="C78" s="47">
        <v>28.558000000000003</v>
      </c>
      <c r="D78" s="16">
        <v>6.4456499999999997</v>
      </c>
      <c r="E78" s="16">
        <v>31.483791666666665</v>
      </c>
      <c r="F78" s="47">
        <v>0.42952472352861626</v>
      </c>
      <c r="G78" s="16">
        <v>9.6945375523924127E-2</v>
      </c>
      <c r="H78" s="16">
        <v>0.47352990094745956</v>
      </c>
      <c r="I78" s="47">
        <v>-30.155824440935117</v>
      </c>
      <c r="J78" s="16">
        <v>-6.8062850972656843</v>
      </c>
      <c r="K78" s="16">
        <v>-33.245314596084313</v>
      </c>
      <c r="L78" s="47">
        <v>1.1509856656845465</v>
      </c>
      <c r="M78" s="16">
        <v>1.0242716474440459</v>
      </c>
      <c r="N78" s="16">
        <v>1.0031526444039622</v>
      </c>
      <c r="O78" s="47">
        <v>5.5950152004171042E-2</v>
      </c>
      <c r="P78" s="16">
        <v>5.5950152004171021E-2</v>
      </c>
      <c r="Q78" s="16">
        <v>5.5950152004170819E-2</v>
      </c>
      <c r="R78" s="47">
        <v>1.0622588515005804</v>
      </c>
      <c r="S78" s="16">
        <v>1.0622588515005802</v>
      </c>
      <c r="T78" s="16">
        <v>1.0622588515005802</v>
      </c>
      <c r="V78" s="16">
        <v>-173.47367711907762</v>
      </c>
      <c r="W78" s="47">
        <v>79.769833333333352</v>
      </c>
      <c r="X78" s="16">
        <v>55.362749999999998</v>
      </c>
      <c r="Y78" s="16">
        <v>39.377499999999998</v>
      </c>
      <c r="Z78" s="47">
        <v>0.45710730182257864</v>
      </c>
      <c r="AA78" s="16">
        <v>0.31724671114992875</v>
      </c>
      <c r="AB78" s="16">
        <v>0.22564598702749267</v>
      </c>
      <c r="AC78" s="47">
        <v>-79.296084485142771</v>
      </c>
      <c r="AD78" s="16">
        <v>-55.033953537112019</v>
      </c>
      <c r="AE78" s="16">
        <v>-39.143639096822838</v>
      </c>
      <c r="AF78" s="47">
        <v>1.0835265472804749</v>
      </c>
      <c r="AG78" s="16">
        <v>0.96423922097436754</v>
      </c>
      <c r="AH78" s="16">
        <v>0.94435799992334957</v>
      </c>
      <c r="AI78" s="47">
        <v>-5.9744292705820289E-3</v>
      </c>
      <c r="AJ78" s="16">
        <v>-5.9744292705819872E-3</v>
      </c>
      <c r="AK78" s="16">
        <v>-5.9744292705820583E-3</v>
      </c>
      <c r="AM78" s="16">
        <v>-245.80156069387934</v>
      </c>
      <c r="AN78" s="47">
        <v>43.027583333333325</v>
      </c>
      <c r="AO78" s="16">
        <v>1.8439166666666669</v>
      </c>
      <c r="AP78" s="16">
        <v>5.3674999999999997</v>
      </c>
      <c r="AQ78" s="16">
        <v>77.364000000000004</v>
      </c>
      <c r="AR78" s="16">
        <v>95.570166666666651</v>
      </c>
      <c r="AS78" s="47">
        <v>0.19279908949627306</v>
      </c>
      <c r="AT78" s="16">
        <v>8.2622686867223454E-3</v>
      </c>
      <c r="AU78" s="16">
        <v>2.4050830483652828E-2</v>
      </c>
      <c r="AV78" s="16">
        <v>0.34665457839540154</v>
      </c>
      <c r="AW78" s="16">
        <v>0.42823323293795024</v>
      </c>
      <c r="AX78" s="47">
        <v>-47.390317098542837</v>
      </c>
      <c r="AY78" s="16">
        <v>-2.0308785380685213</v>
      </c>
      <c r="AZ78" s="16">
        <v>-5.9117316688657944</v>
      </c>
      <c r="BA78" s="16">
        <v>-85.208236391268443</v>
      </c>
      <c r="BB78" s="16">
        <v>-105.26039699713374</v>
      </c>
      <c r="BC78" s="47">
        <v>1.0683520668467295</v>
      </c>
      <c r="BD78" s="16">
        <v>1.200519332848387</v>
      </c>
      <c r="BE78" s="16">
        <v>1.0463241891797868</v>
      </c>
      <c r="BF78" s="16">
        <v>1.2335611493488012</v>
      </c>
      <c r="BG78" s="16">
        <v>1.2996447823496295</v>
      </c>
      <c r="BH78" s="47">
        <v>0.10139388334714379</v>
      </c>
      <c r="BI78" s="16">
        <v>0.10139388334714393</v>
      </c>
      <c r="BJ78" s="16">
        <v>0.10139388334714401</v>
      </c>
      <c r="BK78" s="16">
        <v>0.10139388334714386</v>
      </c>
      <c r="BL78" s="16">
        <v>0.10139388334714373</v>
      </c>
      <c r="BM78" s="47">
        <v>1.1079740832022529</v>
      </c>
      <c r="BN78" s="16">
        <v>1.1079740832022531</v>
      </c>
      <c r="BO78" s="16">
        <v>1.1079740832022533</v>
      </c>
      <c r="BP78" s="16">
        <v>1.1079740832022531</v>
      </c>
      <c r="BQ78" s="16">
        <v>1.1079740832022529</v>
      </c>
      <c r="BT78" s="16">
        <v>-364.97821540368773</v>
      </c>
      <c r="BU78" s="47">
        <v>0.35647500000000004</v>
      </c>
      <c r="BV78" s="16">
        <v>54.25</v>
      </c>
      <c r="BW78" s="16">
        <v>235.45683000000005</v>
      </c>
      <c r="BX78" s="16">
        <v>74.436162500000009</v>
      </c>
      <c r="BY78" s="47">
        <v>9.779849678381216E-4</v>
      </c>
      <c r="BZ78" s="16">
        <v>0.14883423663712209</v>
      </c>
      <c r="CA78" s="16">
        <v>0.6459730424709057</v>
      </c>
      <c r="CB78" s="16">
        <v>0.20421473592413408</v>
      </c>
      <c r="CC78" s="47">
        <v>0.35694320825319054</v>
      </c>
      <c r="CD78" s="16">
        <v>54.321254078786978</v>
      </c>
      <c r="CE78" s="16">
        <v>235.76608823992174</v>
      </c>
      <c r="CF78" s="16">
        <v>74.533929876725821</v>
      </c>
      <c r="CG78" s="47">
        <v>0.97127403606310347</v>
      </c>
      <c r="CH78" s="16">
        <v>0.62081433232899408</v>
      </c>
      <c r="CI78" s="16">
        <v>1.9425480721262072</v>
      </c>
      <c r="CJ78" s="16">
        <v>0.6708800042910098</v>
      </c>
      <c r="CK78" s="47">
        <v>1.3134392403128874E-3</v>
      </c>
      <c r="CL78" s="16">
        <v>1.3117163805466657E-3</v>
      </c>
      <c r="CM78" s="16">
        <v>1.3117163805466305E-3</v>
      </c>
      <c r="CN78" s="16">
        <v>1.313439240313077E-3</v>
      </c>
      <c r="CO78" s="47">
        <v>1.0059805511977866</v>
      </c>
      <c r="CP78" s="16">
        <v>1.0059805511977868</v>
      </c>
      <c r="CQ78" s="16">
        <v>1.0059805511977866</v>
      </c>
      <c r="CR78" s="16">
        <v>1.0059805511977866</v>
      </c>
      <c r="CU78" s="16">
        <v>-94.366556955186013</v>
      </c>
      <c r="CV78" s="47">
        <v>10.0825</v>
      </c>
      <c r="CW78" s="47">
        <v>2.8078320938810615</v>
      </c>
      <c r="CX78" s="47">
        <v>8.3594403129368722</v>
      </c>
      <c r="CY78" s="47">
        <v>9.3594403129368722</v>
      </c>
      <c r="DB78" s="16">
        <v>-108.26698861316954</v>
      </c>
      <c r="DC78" s="52">
        <v>3.9585736238818847</v>
      </c>
      <c r="DD78" s="47">
        <v>2.6317189209925544</v>
      </c>
      <c r="DE78" s="47">
        <v>3.6317189209925544</v>
      </c>
      <c r="DF78" s="47">
        <v>3.6534163688166594</v>
      </c>
      <c r="DI78" s="16">
        <v>-51.803831236556142</v>
      </c>
      <c r="DJ78" s="47">
        <v>31</v>
      </c>
      <c r="DK78" s="16">
        <v>24.826666666666668</v>
      </c>
      <c r="DL78" s="47">
        <v>0.55529018390255547</v>
      </c>
      <c r="DM78" s="16">
        <v>0.44470981609744448</v>
      </c>
      <c r="DN78" s="47">
        <v>-28.766158974204206</v>
      </c>
      <c r="DO78" s="16">
        <v>-23.037672262351933</v>
      </c>
      <c r="DP78" s="47">
        <v>0.8629847692261261</v>
      </c>
      <c r="DQ78" s="16">
        <v>2.8209394606961551</v>
      </c>
      <c r="DR78" s="47">
        <v>7.7655172099930864E-2</v>
      </c>
      <c r="DS78" s="16">
        <v>7.7655172099930461E-2</v>
      </c>
      <c r="DV78" s="16">
        <v>-72.842118893456757</v>
      </c>
      <c r="DW78" s="47">
        <v>2.4389102308077044</v>
      </c>
      <c r="DX78" s="47">
        <v>0.24645834094239299</v>
      </c>
      <c r="DY78" s="47">
        <v>0.32411351304232344</v>
      </c>
      <c r="DZ78" s="47">
        <v>1.0424046127998408</v>
      </c>
    </row>
    <row r="79" spans="1:130" x14ac:dyDescent="0.35">
      <c r="A79" s="13">
        <v>45231</v>
      </c>
      <c r="B79" s="47">
        <v>-81.662830221468582</v>
      </c>
      <c r="C79" s="47">
        <v>29.867999999999995</v>
      </c>
      <c r="D79" s="16">
        <v>6.5785499999999999</v>
      </c>
      <c r="E79" s="16">
        <v>32.809424999999997</v>
      </c>
      <c r="F79" s="47">
        <v>0.43126964857544781</v>
      </c>
      <c r="G79" s="16">
        <v>9.4988916118789762E-2</v>
      </c>
      <c r="H79" s="16">
        <v>0.47374143530576246</v>
      </c>
      <c r="I79" s="47">
        <v>-35.218700091289215</v>
      </c>
      <c r="J79" s="16">
        <v>-7.7570637299300484</v>
      </c>
      <c r="K79" s="16">
        <v>-38.687066400249321</v>
      </c>
      <c r="L79" s="47">
        <v>1.3442251943240158</v>
      </c>
      <c r="M79" s="16">
        <v>1.1673534582287508</v>
      </c>
      <c r="N79" s="16">
        <v>1.1673534582287508</v>
      </c>
      <c r="O79" s="47">
        <v>0.17914490730176832</v>
      </c>
      <c r="P79" s="16">
        <v>0.17914490730176849</v>
      </c>
      <c r="Q79" s="16">
        <v>0.17914490730176849</v>
      </c>
      <c r="R79" s="47">
        <v>1.2667443977845445</v>
      </c>
      <c r="S79" s="16">
        <v>1.266744397784545</v>
      </c>
      <c r="T79" s="16">
        <v>1.266744397784545</v>
      </c>
      <c r="V79" s="16">
        <v>-168.4541730095429</v>
      </c>
      <c r="W79" s="47">
        <v>83.428999999999988</v>
      </c>
      <c r="X79" s="16">
        <v>56.504249999999992</v>
      </c>
      <c r="Y79" s="16">
        <v>41.035499999999999</v>
      </c>
      <c r="Z79" s="47">
        <v>0.46101329649456046</v>
      </c>
      <c r="AA79" s="16">
        <v>0.31223208426869276</v>
      </c>
      <c r="AB79" s="16">
        <v>0.22675461923674667</v>
      </c>
      <c r="AC79" s="47">
        <v>-77.659613607394391</v>
      </c>
      <c r="AD79" s="16">
        <v>-52.596797542528549</v>
      </c>
      <c r="AE79" s="16">
        <v>-38.197761859619945</v>
      </c>
      <c r="AF79" s="47">
        <v>1.0611652963889007</v>
      </c>
      <c r="AG79" s="16">
        <v>0.92153828370615065</v>
      </c>
      <c r="AH79" s="16">
        <v>0.92153828370615065</v>
      </c>
      <c r="AI79" s="47">
        <v>-7.4290691449645313E-2</v>
      </c>
      <c r="AJ79" s="16">
        <v>-7.4290691449645313E-2</v>
      </c>
      <c r="AK79" s="16">
        <v>-7.4290691449645313E-2</v>
      </c>
      <c r="AM79" s="16">
        <v>-289.8153262695111</v>
      </c>
      <c r="AN79" s="47">
        <v>43.914749999999998</v>
      </c>
      <c r="AO79" s="16">
        <v>1.9284999999999999</v>
      </c>
      <c r="AP79" s="16">
        <v>5.5934999999999997</v>
      </c>
      <c r="AQ79" s="16">
        <v>79.436249999999987</v>
      </c>
      <c r="AR79" s="16">
        <v>90.710666666666668</v>
      </c>
      <c r="AS79" s="47">
        <v>0.19818586207467156</v>
      </c>
      <c r="AT79" s="16">
        <v>8.7032588142026118E-3</v>
      </c>
      <c r="AU79" s="16">
        <v>2.524328658399912E-2</v>
      </c>
      <c r="AV79" s="16">
        <v>0.35849325536930365</v>
      </c>
      <c r="AW79" s="16">
        <v>0.40937433715782301</v>
      </c>
      <c r="AX79" s="47">
        <v>-57.437300279175268</v>
      </c>
      <c r="AY79" s="16">
        <v>-2.5223377928461281</v>
      </c>
      <c r="AZ79" s="16">
        <v>-7.3158913374564776</v>
      </c>
      <c r="BA79" s="16">
        <v>-103.8968397702739</v>
      </c>
      <c r="BB79" s="16">
        <v>-118.64295708975932</v>
      </c>
      <c r="BC79" s="47">
        <v>1.2948480243285803</v>
      </c>
      <c r="BD79" s="16">
        <v>1.4910371189238194</v>
      </c>
      <c r="BE79" s="16">
        <v>1.29484802432858</v>
      </c>
      <c r="BF79" s="16">
        <v>1.5041163918968354</v>
      </c>
      <c r="BG79" s="16">
        <v>1.4648785729777876</v>
      </c>
      <c r="BH79" s="47">
        <v>0.30792729730159624</v>
      </c>
      <c r="BI79" s="16">
        <v>0.30792729730159607</v>
      </c>
      <c r="BJ79" s="16">
        <v>0.30792729730159601</v>
      </c>
      <c r="BK79" s="16">
        <v>0.30792729730159613</v>
      </c>
      <c r="BL79" s="16">
        <v>0.3079272973015959</v>
      </c>
      <c r="BM79" s="47">
        <v>1.4050941205839977</v>
      </c>
      <c r="BN79" s="16">
        <v>1.4050941205839975</v>
      </c>
      <c r="BO79" s="16">
        <v>1.4050941205839975</v>
      </c>
      <c r="BP79" s="16">
        <v>1.4050941205839975</v>
      </c>
      <c r="BQ79" s="16">
        <v>1.4050941205839971</v>
      </c>
      <c r="BT79" s="16">
        <v>-365.4313142344663</v>
      </c>
      <c r="BU79" s="47">
        <v>0.36382500000000001</v>
      </c>
      <c r="BV79" s="16">
        <v>52.5</v>
      </c>
      <c r="BW79" s="16">
        <v>230.60205000000005</v>
      </c>
      <c r="BX79" s="16">
        <v>74.436162500000009</v>
      </c>
      <c r="BY79" s="47">
        <v>1.0165491164603943E-3</v>
      </c>
      <c r="BZ79" s="16">
        <v>0.14668818419341911</v>
      </c>
      <c r="CA79" s="16">
        <v>0.64431611401485811</v>
      </c>
      <c r="CB79" s="16">
        <v>0.20797915267526243</v>
      </c>
      <c r="CC79" s="47">
        <v>0.37147887961200743</v>
      </c>
      <c r="CD79" s="16">
        <v>53.604455932468611</v>
      </c>
      <c r="CE79" s="16">
        <v>235.45328432689382</v>
      </c>
      <c r="CF79" s="16">
        <v>76.002095095491867</v>
      </c>
      <c r="CG79" s="47">
        <v>1.0108268832979794</v>
      </c>
      <c r="CH79" s="16">
        <v>0.61262235351392691</v>
      </c>
      <c r="CI79" s="16">
        <v>1.9399707861274353</v>
      </c>
      <c r="CJ79" s="16">
        <v>0.68409496142388526</v>
      </c>
      <c r="CK79" s="47">
        <v>2.1037255856544885E-2</v>
      </c>
      <c r="CL79" s="16">
        <v>2.0603808270342496E-2</v>
      </c>
      <c r="CM79" s="16">
        <v>2.0603808270342572E-2</v>
      </c>
      <c r="CN79" s="16">
        <v>2.1037255856545107E-2</v>
      </c>
      <c r="CO79" s="47">
        <v>1.0754109975994575</v>
      </c>
      <c r="CP79" s="16">
        <v>1.0754109975994575</v>
      </c>
      <c r="CQ79" s="16">
        <v>1.0754109975994577</v>
      </c>
      <c r="CR79" s="16">
        <v>1.0754109975994577</v>
      </c>
      <c r="CU79" s="16">
        <v>-94.299653517694239</v>
      </c>
      <c r="CV79" s="47">
        <v>12.098999999999998</v>
      </c>
      <c r="CW79" s="47">
        <v>2.8058414138664292</v>
      </c>
      <c r="CX79" s="47">
        <v>6.7940039274067479</v>
      </c>
      <c r="CY79" s="47">
        <v>7.7940039274067479</v>
      </c>
      <c r="DB79" s="16">
        <v>-108.28159397512576</v>
      </c>
      <c r="DC79" s="52">
        <v>3.9591076407724231</v>
      </c>
      <c r="DD79" s="47">
        <v>2.4729014392740556</v>
      </c>
      <c r="DE79" s="47">
        <v>3.4729014392740556</v>
      </c>
      <c r="DF79" s="47">
        <v>3.7309056885341936</v>
      </c>
      <c r="DI79" s="16">
        <v>-53.014956170657229</v>
      </c>
      <c r="DJ79" s="47">
        <v>31</v>
      </c>
      <c r="DK79" s="16">
        <v>24.826666666666668</v>
      </c>
      <c r="DL79" s="47">
        <v>0.55529018390255547</v>
      </c>
      <c r="DM79" s="16">
        <v>0.44470981609744448</v>
      </c>
      <c r="DN79" s="47">
        <v>-29.438684761590171</v>
      </c>
      <c r="DO79" s="16">
        <v>-23.576271409067054</v>
      </c>
      <c r="DP79" s="47">
        <v>0.88316054284770518</v>
      </c>
      <c r="DQ79" s="16">
        <v>2.8868903766204554</v>
      </c>
      <c r="DR79" s="47">
        <v>5.3036175055175681E-2</v>
      </c>
      <c r="DS79" s="16">
        <v>5.3036175055175702E-2</v>
      </c>
      <c r="DV79" s="16">
        <v>-72.59408658873248</v>
      </c>
      <c r="DW79" s="47">
        <v>2.4306055777477393</v>
      </c>
      <c r="DX79" s="47">
        <v>0.25071711668535751</v>
      </c>
      <c r="DY79" s="47">
        <v>0.30375329174053323</v>
      </c>
      <c r="DZ79" s="47">
        <v>1.0456332835608544</v>
      </c>
    </row>
    <row r="80" spans="1:130" x14ac:dyDescent="0.35">
      <c r="A80" s="13">
        <v>45261</v>
      </c>
      <c r="B80" s="47">
        <v>-77.93172504492631</v>
      </c>
      <c r="C80" s="47">
        <v>30.129999999999995</v>
      </c>
      <c r="D80" s="16">
        <v>6.6449999999999996</v>
      </c>
      <c r="E80" s="16">
        <v>33.140833333333333</v>
      </c>
      <c r="F80" s="47">
        <v>0.43094673357250979</v>
      </c>
      <c r="G80" s="16">
        <v>9.5042849140037425E-2</v>
      </c>
      <c r="H80" s="16">
        <v>0.4740104172874528</v>
      </c>
      <c r="I80" s="47">
        <v>-33.584422349781946</v>
      </c>
      <c r="J80" s="16">
        <v>-7.4068531866678073</v>
      </c>
      <c r="K80" s="16">
        <v>-36.940449508476554</v>
      </c>
      <c r="L80" s="47">
        <v>1.2818481812893872</v>
      </c>
      <c r="M80" s="16">
        <v>1.1146505924255543</v>
      </c>
      <c r="N80" s="16">
        <v>1.1146505924255543</v>
      </c>
      <c r="O80" s="47">
        <v>0.11465059242555413</v>
      </c>
      <c r="P80" s="16">
        <v>0.11465059242555431</v>
      </c>
      <c r="Q80" s="16">
        <v>0.11465059242555431</v>
      </c>
      <c r="R80" s="47">
        <v>1.2391283905455597</v>
      </c>
      <c r="S80" s="16">
        <v>1.2391283905455599</v>
      </c>
      <c r="T80" s="16">
        <v>1.2391283905455595</v>
      </c>
      <c r="V80" s="16">
        <v>-164.3339575676271</v>
      </c>
      <c r="W80" s="47">
        <v>84.160833333333329</v>
      </c>
      <c r="X80" s="16">
        <v>57.074999999999996</v>
      </c>
      <c r="Y80" s="16">
        <v>41.449999999999996</v>
      </c>
      <c r="Z80" s="47">
        <v>0.46068615063200491</v>
      </c>
      <c r="AA80" s="16">
        <v>0.31242159809873965</v>
      </c>
      <c r="AB80" s="16">
        <v>0.22689225126925552</v>
      </c>
      <c r="AC80" s="47">
        <v>-75.706378329953353</v>
      </c>
      <c r="AD80" s="16">
        <v>-51.341477645168524</v>
      </c>
      <c r="AE80" s="16">
        <v>-37.286101592505226</v>
      </c>
      <c r="AF80" s="47">
        <v>1.0344756774760193</v>
      </c>
      <c r="AG80" s="16">
        <v>0.89954406737045156</v>
      </c>
      <c r="AH80" s="16">
        <v>0.89954406737045178</v>
      </c>
      <c r="AI80" s="47">
        <v>-0.11167427619549675</v>
      </c>
      <c r="AJ80" s="16">
        <v>-0.11167427619549686</v>
      </c>
      <c r="AK80" s="16">
        <v>-0.11167427619549658</v>
      </c>
      <c r="AM80" s="16">
        <v>-282.81398240696916</v>
      </c>
      <c r="AN80" s="47">
        <v>44.358333333333327</v>
      </c>
      <c r="AO80" s="16">
        <v>1.9454166666666666</v>
      </c>
      <c r="AP80" s="16">
        <v>5.6499999999999995</v>
      </c>
      <c r="AQ80" s="16">
        <v>79.436249999999987</v>
      </c>
      <c r="AR80" s="16">
        <v>88.28091666666667</v>
      </c>
      <c r="AS80" s="47">
        <v>0.201930842764423</v>
      </c>
      <c r="AT80" s="16">
        <v>8.8560502054019444E-3</v>
      </c>
      <c r="AU80" s="16">
        <v>2.5720291451113805E-2</v>
      </c>
      <c r="AV80" s="16">
        <v>0.36161477907673256</v>
      </c>
      <c r="AW80" s="16">
        <v>0.40187803650232873</v>
      </c>
      <c r="AX80" s="47">
        <v>-57.108865813001984</v>
      </c>
      <c r="AY80" s="16">
        <v>-2.5046148269857813</v>
      </c>
      <c r="AZ80" s="16">
        <v>-7.2740580539574191</v>
      </c>
      <c r="BA80" s="16">
        <v>-102.26971576790709</v>
      </c>
      <c r="BB80" s="16">
        <v>-113.65672794511691</v>
      </c>
      <c r="BC80" s="47">
        <v>1.2874439033552956</v>
      </c>
      <c r="BD80" s="16">
        <v>1.4805604888585897</v>
      </c>
      <c r="BE80" s="16">
        <v>1.2874439033552956</v>
      </c>
      <c r="BF80" s="16">
        <v>1.4805604888585897</v>
      </c>
      <c r="BG80" s="16">
        <v>1.4033138546572723</v>
      </c>
      <c r="BH80" s="47">
        <v>0.28744390335529557</v>
      </c>
      <c r="BI80" s="16">
        <v>0.28744390335529552</v>
      </c>
      <c r="BJ80" s="16">
        <v>0.28744390335529557</v>
      </c>
      <c r="BK80" s="16">
        <v>0.28744390335529552</v>
      </c>
      <c r="BL80" s="16">
        <v>0.28744390335529563</v>
      </c>
      <c r="BM80" s="47">
        <v>1.4312182694048035</v>
      </c>
      <c r="BN80" s="16">
        <v>1.4312182694048032</v>
      </c>
      <c r="BO80" s="16">
        <v>1.431218269404803</v>
      </c>
      <c r="BP80" s="16">
        <v>1.4312182694048032</v>
      </c>
      <c r="BQ80" s="16">
        <v>1.4312182694048035</v>
      </c>
      <c r="BT80" s="16">
        <v>-367.9681752730985</v>
      </c>
      <c r="BU80" s="47">
        <v>0.36749999999999999</v>
      </c>
      <c r="BV80" s="16">
        <v>51.625</v>
      </c>
      <c r="BW80" s="16">
        <v>226.96096500000002</v>
      </c>
      <c r="BX80" s="16">
        <v>69.992212499999994</v>
      </c>
      <c r="BY80" s="47">
        <v>1.0531725242534349E-3</v>
      </c>
      <c r="BZ80" s="16">
        <v>0.14794566412131585</v>
      </c>
      <c r="CA80" s="16">
        <v>0.65041919024774286</v>
      </c>
      <c r="CB80" s="16">
        <v>0.20058197310668793</v>
      </c>
      <c r="CC80" s="47">
        <v>0.3875339719972995</v>
      </c>
      <c r="CD80" s="16">
        <v>54.439296066287312</v>
      </c>
      <c r="CE80" s="16">
        <v>239.33356259806826</v>
      </c>
      <c r="CF80" s="16">
        <v>73.807782636745671</v>
      </c>
      <c r="CG80" s="47">
        <v>1.0545142095164612</v>
      </c>
      <c r="CH80" s="16">
        <v>0.62216338361471213</v>
      </c>
      <c r="CI80" s="16">
        <v>1.9719415717957824</v>
      </c>
      <c r="CJ80" s="16">
        <v>0.66434395199537055</v>
      </c>
      <c r="CK80" s="47">
        <v>5.4514209516461243E-2</v>
      </c>
      <c r="CL80" s="16">
        <v>5.16960407214032E-2</v>
      </c>
      <c r="CM80" s="16">
        <v>5.1696040721403068E-2</v>
      </c>
      <c r="CN80" s="16">
        <v>5.4514209516461187E-2</v>
      </c>
      <c r="CO80" s="47">
        <v>1.1147903120464127</v>
      </c>
      <c r="CP80" s="16">
        <v>1.1147903120464127</v>
      </c>
      <c r="CQ80" s="16">
        <v>1.1147903120464124</v>
      </c>
      <c r="CR80" s="16">
        <v>1.1147903120464127</v>
      </c>
      <c r="CU80" s="16">
        <v>-86.849887886255544</v>
      </c>
      <c r="CV80" s="47">
        <v>11.762916666666667</v>
      </c>
      <c r="CW80" s="47">
        <v>2.5841771748947844</v>
      </c>
      <c r="CX80" s="47">
        <v>6.3833633568422412</v>
      </c>
      <c r="CY80" s="47">
        <v>7.3833633568422412</v>
      </c>
      <c r="DB80" s="16">
        <v>-108.13344507399597</v>
      </c>
      <c r="DC80" s="52">
        <v>3.9536908619376954</v>
      </c>
      <c r="DD80" s="47">
        <v>2.4379920538588657</v>
      </c>
      <c r="DE80" s="47">
        <v>3.4379920538588657</v>
      </c>
      <c r="DF80" s="47">
        <v>3.8219273280394241</v>
      </c>
      <c r="DI80" s="16">
        <v>-52.97041560944259</v>
      </c>
      <c r="DJ80" s="47">
        <v>31.333333333333332</v>
      </c>
      <c r="DK80" s="16">
        <v>24.908333333333331</v>
      </c>
      <c r="DL80" s="47">
        <v>0.55711957327011419</v>
      </c>
      <c r="DM80" s="16">
        <v>0.44288042672988592</v>
      </c>
      <c r="DN80" s="47">
        <v>-29.510855340273253</v>
      </c>
      <c r="DO80" s="16">
        <v>-23.459560269169344</v>
      </c>
      <c r="DP80" s="47">
        <v>0.88532566020819758</v>
      </c>
      <c r="DQ80" s="16">
        <v>2.872599216632981</v>
      </c>
      <c r="DR80" s="47">
        <v>6.1756190122112663E-2</v>
      </c>
      <c r="DS80" s="16">
        <v>6.175619012211285E-2</v>
      </c>
      <c r="DV80" s="16">
        <v>-67.311275230610292</v>
      </c>
      <c r="DW80" s="47">
        <v>2.2537257331677556</v>
      </c>
      <c r="DX80" s="47">
        <v>0.35331462702563626</v>
      </c>
      <c r="DY80" s="47">
        <v>0.41507081714774913</v>
      </c>
      <c r="DZ80" s="47">
        <v>1.0522146098253893</v>
      </c>
    </row>
    <row r="81" spans="1:130" x14ac:dyDescent="0.35">
      <c r="A81" s="13">
        <v>45292</v>
      </c>
      <c r="B81" s="47">
        <v>-67.162761044059735</v>
      </c>
      <c r="C81" s="47">
        <v>29.867999999999995</v>
      </c>
      <c r="D81" s="16">
        <v>6.9107999999999992</v>
      </c>
      <c r="E81" s="16">
        <v>33.472241666666669</v>
      </c>
      <c r="F81" s="47">
        <v>0.42516095550184602</v>
      </c>
      <c r="G81" s="16">
        <v>9.8372918551029781E-2</v>
      </c>
      <c r="H81" s="16">
        <v>0.47646612594712417</v>
      </c>
      <c r="I81" s="47">
        <v>-28.554983659634598</v>
      </c>
      <c r="J81" s="16">
        <v>-6.606996821849564</v>
      </c>
      <c r="K81" s="16">
        <v>-32.000780562575571</v>
      </c>
      <c r="L81" s="47">
        <v>1.0898848725051375</v>
      </c>
      <c r="M81" s="16">
        <v>0.99428093632047632</v>
      </c>
      <c r="N81" s="16">
        <v>0.96559975546507792</v>
      </c>
      <c r="O81" s="47">
        <v>-4.3960638153388035E-2</v>
      </c>
      <c r="P81" s="16">
        <v>-4.3960638153388187E-2</v>
      </c>
      <c r="Q81" s="16">
        <v>-4.3960638153388201E-2</v>
      </c>
      <c r="R81" s="47">
        <v>1.0644597078321636</v>
      </c>
      <c r="S81" s="16">
        <v>1.0644597078321629</v>
      </c>
      <c r="T81" s="16">
        <v>1.0644597078321634</v>
      </c>
      <c r="V81" s="16">
        <v>-165.84385573742571</v>
      </c>
      <c r="W81" s="47">
        <v>83.428999999999988</v>
      </c>
      <c r="X81" s="16">
        <v>59.358000000000004</v>
      </c>
      <c r="Y81" s="16">
        <v>41.8645</v>
      </c>
      <c r="Z81" s="47">
        <v>0.45181869630086946</v>
      </c>
      <c r="AA81" s="16">
        <v>0.32145961446292076</v>
      </c>
      <c r="AB81" s="16">
        <v>0.22672168923620986</v>
      </c>
      <c r="AC81" s="47">
        <v>-74.931354688793149</v>
      </c>
      <c r="AD81" s="16">
        <v>-53.312101926397119</v>
      </c>
      <c r="AE81" s="16">
        <v>-37.600399122235451</v>
      </c>
      <c r="AF81" s="47">
        <v>1.0238855115754018</v>
      </c>
      <c r="AG81" s="16">
        <v>0.93407099301615637</v>
      </c>
      <c r="AH81" s="16">
        <v>0.9071266374483824</v>
      </c>
      <c r="AI81" s="47">
        <v>-0.11340573444186992</v>
      </c>
      <c r="AJ81" s="16">
        <v>-0.1134057344418696</v>
      </c>
      <c r="AK81" s="16">
        <v>-0.11340573444186985</v>
      </c>
      <c r="AM81" s="16">
        <v>-246.3794625296548</v>
      </c>
      <c r="AN81" s="47">
        <v>46.132666666666665</v>
      </c>
      <c r="AO81" s="16">
        <v>1.9284999999999999</v>
      </c>
      <c r="AP81" s="16">
        <v>5.7064999999999992</v>
      </c>
      <c r="AQ81" s="16">
        <v>78.745499999999993</v>
      </c>
      <c r="AR81" s="16">
        <v>90.710666666666668</v>
      </c>
      <c r="AS81" s="47">
        <v>0.2066655068940518</v>
      </c>
      <c r="AT81" s="16">
        <v>8.6393104678935875E-3</v>
      </c>
      <c r="AU81" s="16">
        <v>2.5564026541371403E-2</v>
      </c>
      <c r="AV81" s="16">
        <v>0.35276475107571398</v>
      </c>
      <c r="AW81" s="16">
        <v>0.40636640502096927</v>
      </c>
      <c r="AX81" s="47">
        <v>-50.918136511975149</v>
      </c>
      <c r="AY81" s="16">
        <v>-2.1285486697064426</v>
      </c>
      <c r="AZ81" s="16">
        <v>-6.2984511193569164</v>
      </c>
      <c r="BA81" s="16">
        <v>-86.913989769441869</v>
      </c>
      <c r="BB81" s="16">
        <v>-100.12033645917442</v>
      </c>
      <c r="BC81" s="47">
        <v>1.1478820930747733</v>
      </c>
      <c r="BD81" s="16">
        <v>1.2582553712550399</v>
      </c>
      <c r="BE81" s="16">
        <v>1.1147701096206932</v>
      </c>
      <c r="BF81" s="16">
        <v>1.2582553712550397</v>
      </c>
      <c r="BG81" s="16">
        <v>1.2361807156189868</v>
      </c>
      <c r="BH81" s="47">
        <v>0.10373278180266658</v>
      </c>
      <c r="BI81" s="16">
        <v>0.10373278180266671</v>
      </c>
      <c r="BJ81" s="16">
        <v>0.10373278180266655</v>
      </c>
      <c r="BK81" s="16">
        <v>0.10373278180266651</v>
      </c>
      <c r="BL81" s="16">
        <v>0.10373278180266668</v>
      </c>
      <c r="BM81" s="47">
        <v>1.2289024085505655</v>
      </c>
      <c r="BN81" s="16">
        <v>1.2289024085505664</v>
      </c>
      <c r="BO81" s="16">
        <v>1.228902408550566</v>
      </c>
      <c r="BP81" s="16">
        <v>1.2289024085505662</v>
      </c>
      <c r="BQ81" s="16">
        <v>1.2289024085505662</v>
      </c>
      <c r="BT81" s="16">
        <v>-381.63314273158738</v>
      </c>
      <c r="BU81" s="47">
        <v>0.38220000000000004</v>
      </c>
      <c r="BV81" s="16">
        <v>52.5</v>
      </c>
      <c r="BW81" s="16">
        <v>226.96096500000002</v>
      </c>
      <c r="BX81" s="16">
        <v>71.103200000000001</v>
      </c>
      <c r="BY81" s="47">
        <v>1.0890553033652307E-3</v>
      </c>
      <c r="BZ81" s="16">
        <v>0.1495955087040152</v>
      </c>
      <c r="CA81" s="16">
        <v>0.6467112574310323</v>
      </c>
      <c r="CB81" s="16">
        <v>0.20260417856158733</v>
      </c>
      <c r="CC81" s="47">
        <v>0.41561959803177528</v>
      </c>
      <c r="CD81" s="16">
        <v>57.090604125243857</v>
      </c>
      <c r="CE81" s="16">
        <v>246.80644961330151</v>
      </c>
      <c r="CF81" s="16">
        <v>77.320469395010278</v>
      </c>
      <c r="CG81" s="47">
        <v>1.1309376817191164</v>
      </c>
      <c r="CH81" s="16">
        <v>0.6524640471456441</v>
      </c>
      <c r="CI81" s="16">
        <v>2.0335129469372575</v>
      </c>
      <c r="CJ81" s="16">
        <v>0.69596165028868717</v>
      </c>
      <c r="CK81" s="47">
        <v>8.7440078576073374E-2</v>
      </c>
      <c r="CL81" s="16">
        <v>8.0409100509308232E-2</v>
      </c>
      <c r="CM81" s="16">
        <v>8.0409100509308162E-2</v>
      </c>
      <c r="CN81" s="16">
        <v>8.7440078576073679E-2</v>
      </c>
      <c r="CO81" s="47">
        <v>1.1156761734310545</v>
      </c>
      <c r="CP81" s="16">
        <v>1.1156761734310545</v>
      </c>
      <c r="CQ81" s="16">
        <v>1.1156761734310545</v>
      </c>
      <c r="CR81" s="16">
        <v>1.1156761734310547</v>
      </c>
      <c r="CU81" s="16">
        <v>-82.36453304354626</v>
      </c>
      <c r="CV81" s="47">
        <v>10.0825</v>
      </c>
      <c r="CW81" s="47">
        <v>2.4507175713428095</v>
      </c>
      <c r="CX81" s="47">
        <v>7.1690585711426991</v>
      </c>
      <c r="CY81" s="47">
        <v>8.1690585711426991</v>
      </c>
      <c r="DB81" s="16">
        <v>-108.09088416269461</v>
      </c>
      <c r="DC81" s="52">
        <v>3.9521347043032762</v>
      </c>
      <c r="DD81" s="47">
        <v>2.4667848283362077</v>
      </c>
      <c r="DE81" s="47">
        <v>3.4667848283362077</v>
      </c>
      <c r="DF81" s="47">
        <v>3.8599381079456077</v>
      </c>
      <c r="DI81" s="16">
        <v>-53.460277418769849</v>
      </c>
      <c r="DJ81" s="47">
        <v>32.666666666666664</v>
      </c>
      <c r="DK81" s="16">
        <v>24.66333333333333</v>
      </c>
      <c r="DL81" s="47">
        <v>0.56980056980056981</v>
      </c>
      <c r="DM81" s="16">
        <v>0.43019943019943019</v>
      </c>
      <c r="DN81" s="47">
        <v>-30.461696534911596</v>
      </c>
      <c r="DO81" s="16">
        <v>-22.998580883858253</v>
      </c>
      <c r="DP81" s="47">
        <v>0.91385089604734793</v>
      </c>
      <c r="DQ81" s="16">
        <v>2.8161527612887656</v>
      </c>
      <c r="DR81" s="47">
        <v>7.238500748728792E-2</v>
      </c>
      <c r="DS81" s="16">
        <v>7.2385007487288128E-2</v>
      </c>
      <c r="DV81" s="16">
        <v>-65.063453479888878</v>
      </c>
      <c r="DW81" s="47">
        <v>2.178463844192708</v>
      </c>
      <c r="DX81" s="47">
        <v>0.38629796774026665</v>
      </c>
      <c r="DY81" s="47">
        <v>0.45868297522755475</v>
      </c>
      <c r="DZ81" s="47">
        <v>1.0445036372086458</v>
      </c>
    </row>
    <row r="82" spans="1:130" x14ac:dyDescent="0.35">
      <c r="A82" s="13">
        <v>45323</v>
      </c>
      <c r="B82" s="47">
        <v>-66.303412056191377</v>
      </c>
      <c r="C82" s="47">
        <v>29.605999999999995</v>
      </c>
      <c r="D82" s="16">
        <v>7.3094999999999999</v>
      </c>
      <c r="E82" s="16">
        <v>33.803649999999998</v>
      </c>
      <c r="F82" s="47">
        <v>0.41864190958177527</v>
      </c>
      <c r="G82" s="16">
        <v>0.1033595567820032</v>
      </c>
      <c r="H82" s="16">
        <v>0.47799853363622163</v>
      </c>
      <c r="I82" s="47">
        <v>-27.757387034991257</v>
      </c>
      <c r="J82" s="16">
        <v>-6.8530912832624686</v>
      </c>
      <c r="K82" s="16">
        <v>-31.692933737937658</v>
      </c>
      <c r="L82" s="47">
        <v>1.0594422532439411</v>
      </c>
      <c r="M82" s="16">
        <v>1.031315467759589</v>
      </c>
      <c r="N82" s="16">
        <v>0.95631070646798233</v>
      </c>
      <c r="O82" s="47">
        <v>-6.2440483854919251E-2</v>
      </c>
      <c r="P82" s="16">
        <v>-6.2440483854919127E-2</v>
      </c>
      <c r="Q82" s="16">
        <v>-6.24404838549193E-2</v>
      </c>
      <c r="R82" s="47">
        <v>1.0505960635203639</v>
      </c>
      <c r="S82" s="16">
        <v>1.0505960635203642</v>
      </c>
      <c r="T82" s="16">
        <v>1.0505960635203637</v>
      </c>
      <c r="V82" s="16">
        <v>-167.55719042215256</v>
      </c>
      <c r="W82" s="47">
        <v>82.697166666666661</v>
      </c>
      <c r="X82" s="16">
        <v>62.782499999999999</v>
      </c>
      <c r="Y82" s="16">
        <v>42.279000000000003</v>
      </c>
      <c r="Z82" s="47">
        <v>0.44044393867304832</v>
      </c>
      <c r="AA82" s="16">
        <v>0.3343787059984803</v>
      </c>
      <c r="AB82" s="16">
        <v>0.2251773553284713</v>
      </c>
      <c r="AC82" s="47">
        <v>-73.799548902522844</v>
      </c>
      <c r="AD82" s="16">
        <v>-56.027556514100326</v>
      </c>
      <c r="AE82" s="16">
        <v>-37.730085005529375</v>
      </c>
      <c r="AF82" s="47">
        <v>1.0084201626398019</v>
      </c>
      <c r="AG82" s="16">
        <v>0.98164794593255067</v>
      </c>
      <c r="AH82" s="16">
        <v>0.91025536804654705</v>
      </c>
      <c r="AI82" s="47">
        <v>-0.12056466328671089</v>
      </c>
      <c r="AJ82" s="16">
        <v>-0.12056466328671096</v>
      </c>
      <c r="AK82" s="16">
        <v>-0.12056466328671081</v>
      </c>
      <c r="AM82" s="16">
        <v>-246.53231168302312</v>
      </c>
      <c r="AN82" s="47">
        <v>48.794166666666662</v>
      </c>
      <c r="AO82" s="16">
        <v>1.9115833333333334</v>
      </c>
      <c r="AP82" s="16">
        <v>5.762999999999999</v>
      </c>
      <c r="AQ82" s="16">
        <v>79.436249999999987</v>
      </c>
      <c r="AR82" s="16">
        <v>93.140416666666667</v>
      </c>
      <c r="AS82" s="47">
        <v>0.21303271367214288</v>
      </c>
      <c r="AT82" s="16">
        <v>8.3458702695426139E-3</v>
      </c>
      <c r="AU82" s="16">
        <v>2.5160948792906791E-2</v>
      </c>
      <c r="AV82" s="16">
        <v>0.34681440543996911</v>
      </c>
      <c r="AW82" s="16">
        <v>0.40664606182543855</v>
      </c>
      <c r="AX82" s="47">
        <v>-52.519447365700948</v>
      </c>
      <c r="AY82" s="16">
        <v>-2.0575266905569558</v>
      </c>
      <c r="AZ82" s="16">
        <v>-6.2029868700534818</v>
      </c>
      <c r="BA82" s="16">
        <v>-85.500957098088818</v>
      </c>
      <c r="BB82" s="16">
        <v>-100.2513936586229</v>
      </c>
      <c r="BC82" s="47">
        <v>1.1839815299425349</v>
      </c>
      <c r="BD82" s="16">
        <v>1.2162719353046043</v>
      </c>
      <c r="BE82" s="16">
        <v>1.0978737823103508</v>
      </c>
      <c r="BF82" s="16">
        <v>1.2377988722126503</v>
      </c>
      <c r="BG82" s="16">
        <v>1.2377988722126503</v>
      </c>
      <c r="BH82" s="47">
        <v>7.6346845402304381E-2</v>
      </c>
      <c r="BI82" s="16">
        <v>7.6346845402304797E-2</v>
      </c>
      <c r="BJ82" s="16">
        <v>7.6346845402304714E-2</v>
      </c>
      <c r="BK82" s="16">
        <v>7.6346845402304672E-2</v>
      </c>
      <c r="BL82" s="16">
        <v>7.6346845402304672E-2</v>
      </c>
      <c r="BM82" s="47">
        <v>1.2061162403979468</v>
      </c>
      <c r="BN82" s="16">
        <v>1.2061162403979471</v>
      </c>
      <c r="BO82" s="16">
        <v>1.2061162403979468</v>
      </c>
      <c r="BP82" s="16">
        <v>1.2061162403979468</v>
      </c>
      <c r="BQ82" s="16">
        <v>1.2061162403979468</v>
      </c>
      <c r="BT82" s="16">
        <v>-396.09471289620035</v>
      </c>
      <c r="BU82" s="47">
        <v>0.40425000000000005</v>
      </c>
      <c r="BV82" s="16">
        <v>53.375</v>
      </c>
      <c r="BW82" s="16">
        <v>230.60205000000005</v>
      </c>
      <c r="BX82" s="16">
        <v>73.325175000000002</v>
      </c>
      <c r="BY82" s="47">
        <v>1.1301165292017707E-3</v>
      </c>
      <c r="BZ82" s="16">
        <v>0.14921452008941127</v>
      </c>
      <c r="CA82" s="16">
        <v>0.64466836950603146</v>
      </c>
      <c r="CB82" s="16">
        <v>0.20498699387535546</v>
      </c>
      <c r="CC82" s="47">
        <v>0.44763318217342579</v>
      </c>
      <c r="CD82" s="16">
        <v>59.103082494759676</v>
      </c>
      <c r="CE82" s="16">
        <v>255.34973273275313</v>
      </c>
      <c r="CF82" s="16">
        <v>81.194264486514101</v>
      </c>
      <c r="CG82" s="47">
        <v>1.2180494753018389</v>
      </c>
      <c r="CH82" s="16">
        <v>0.67546379994011063</v>
      </c>
      <c r="CI82" s="16">
        <v>2.1039036391577217</v>
      </c>
      <c r="CJ82" s="16">
        <v>0.73082968518110336</v>
      </c>
      <c r="CK82" s="47">
        <v>0.10731770481985349</v>
      </c>
      <c r="CL82" s="16">
        <v>9.6916814707042678E-2</v>
      </c>
      <c r="CM82" s="16">
        <v>9.6916814707042734E-2</v>
      </c>
      <c r="CN82" s="16">
        <v>0.10731770481985353</v>
      </c>
      <c r="CO82" s="47">
        <v>1.1219862964652179</v>
      </c>
      <c r="CP82" s="16">
        <v>1.1219862964652179</v>
      </c>
      <c r="CQ82" s="16">
        <v>1.1219862964652179</v>
      </c>
      <c r="CR82" s="16">
        <v>1.1219862964652179</v>
      </c>
      <c r="CU82" s="16">
        <v>-78.728386921961132</v>
      </c>
      <c r="CV82" s="47">
        <v>10.0825</v>
      </c>
      <c r="CW82" s="47">
        <v>2.342525770055873</v>
      </c>
      <c r="CX82" s="47">
        <v>6.8084192335195777</v>
      </c>
      <c r="CY82" s="47">
        <v>7.8084192335195777</v>
      </c>
      <c r="DB82" s="16">
        <v>-108.0052527832983</v>
      </c>
      <c r="DC82" s="52">
        <v>3.9490037580730641</v>
      </c>
      <c r="DD82" s="47">
        <v>2.4946935912151011</v>
      </c>
      <c r="DE82" s="47">
        <v>3.4946935912151011</v>
      </c>
      <c r="DF82" s="47">
        <v>3.9160301473301762</v>
      </c>
      <c r="DI82" s="16">
        <v>-54.087323904941435</v>
      </c>
      <c r="DJ82" s="47">
        <v>33.333333333333336</v>
      </c>
      <c r="DK82" s="16">
        <v>24.254999999999999</v>
      </c>
      <c r="DL82" s="47">
        <v>0.5788209417416722</v>
      </c>
      <c r="DM82" s="16">
        <v>0.42117905825832774</v>
      </c>
      <c r="DN82" s="47">
        <v>-31.306875758945061</v>
      </c>
      <c r="DO82" s="16">
        <v>-22.78044814599637</v>
      </c>
      <c r="DP82" s="47">
        <v>0.93920627276835189</v>
      </c>
      <c r="DQ82" s="16">
        <v>2.7894426301220046</v>
      </c>
      <c r="DR82" s="47">
        <v>6.4728834329924045E-2</v>
      </c>
      <c r="DS82" s="16">
        <v>6.4728834329924337E-2</v>
      </c>
      <c r="DV82" s="16">
        <v>-60.98751315116305</v>
      </c>
      <c r="DW82" s="47">
        <v>2.0419926278291203</v>
      </c>
      <c r="DX82" s="47">
        <v>0.45446166627813028</v>
      </c>
      <c r="DY82" s="47">
        <v>0.51919050060805461</v>
      </c>
      <c r="DZ82" s="47">
        <v>1.0119511650240822</v>
      </c>
    </row>
    <row r="83" spans="1:130" x14ac:dyDescent="0.35">
      <c r="A83" s="13">
        <v>45352</v>
      </c>
      <c r="B83" s="47">
        <v>-74.214918298515457</v>
      </c>
      <c r="C83" s="47">
        <v>30.391999999999996</v>
      </c>
      <c r="D83" s="16">
        <v>7.9739999999999993</v>
      </c>
      <c r="E83" s="16">
        <v>34.797874999999998</v>
      </c>
      <c r="F83" s="47">
        <v>0.41539625942447689</v>
      </c>
      <c r="G83" s="16">
        <v>0.10898821310380294</v>
      </c>
      <c r="H83" s="16">
        <v>0.4756155274717202</v>
      </c>
      <c r="I83" s="47">
        <v>-30.828599454696484</v>
      </c>
      <c r="J83" s="16">
        <v>-8.0885513309999268</v>
      </c>
      <c r="K83" s="16">
        <v>-35.29776751281905</v>
      </c>
      <c r="L83" s="47">
        <v>1.1766641013242933</v>
      </c>
      <c r="M83" s="16">
        <v>1.2172387255078898</v>
      </c>
      <c r="N83" s="16">
        <v>1.0650838848194035</v>
      </c>
      <c r="O83" s="47">
        <v>1.4365604589908114E-2</v>
      </c>
      <c r="P83" s="16">
        <v>1.436560458990821E-2</v>
      </c>
      <c r="Q83" s="16">
        <v>1.4365604589908076E-2</v>
      </c>
      <c r="R83" s="47">
        <v>1.1396132751500638</v>
      </c>
      <c r="S83" s="16">
        <v>1.1396132751500638</v>
      </c>
      <c r="T83" s="16">
        <v>1.1396132751500638</v>
      </c>
      <c r="V83" s="16">
        <v>-175.26456806710073</v>
      </c>
      <c r="W83" s="47">
        <v>84.89266666666667</v>
      </c>
      <c r="X83" s="16">
        <v>68.489999999999995</v>
      </c>
      <c r="Y83" s="16">
        <v>43.522500000000001</v>
      </c>
      <c r="Z83" s="47">
        <v>0.43113478484989814</v>
      </c>
      <c r="AA83" s="16">
        <v>0.34783241678946969</v>
      </c>
      <c r="AB83" s="16">
        <v>0.22103279836063214</v>
      </c>
      <c r="AC83" s="47">
        <v>-75.562651845419794</v>
      </c>
      <c r="AD83" s="16">
        <v>-60.96269828834216</v>
      </c>
      <c r="AE83" s="16">
        <v>-38.739217933338765</v>
      </c>
      <c r="AF83" s="47">
        <v>1.0325117537520354</v>
      </c>
      <c r="AG83" s="16">
        <v>1.068115607329692</v>
      </c>
      <c r="AH83" s="16">
        <v>0.93460115641348041</v>
      </c>
      <c r="AI83" s="47">
        <v>-0.12347389342996444</v>
      </c>
      <c r="AJ83" s="16">
        <v>-0.12347389342996426</v>
      </c>
      <c r="AK83" s="16">
        <v>-0.12347389342996448</v>
      </c>
      <c r="AM83" s="16">
        <v>-275.81884085961292</v>
      </c>
      <c r="AN83" s="47">
        <v>53.22999999999999</v>
      </c>
      <c r="AO83" s="16">
        <v>1.9623333333333333</v>
      </c>
      <c r="AP83" s="16">
        <v>5.9325000000000001</v>
      </c>
      <c r="AQ83" s="16">
        <v>80.126999999999995</v>
      </c>
      <c r="AR83" s="16">
        <v>94.760249999999985</v>
      </c>
      <c r="AS83" s="47">
        <v>0.22553929971805822</v>
      </c>
      <c r="AT83" s="16">
        <v>8.3145460419575979E-3</v>
      </c>
      <c r="AU83" s="16">
        <v>2.5136424865252312E-2</v>
      </c>
      <c r="AV83" s="16">
        <v>0.33950380365412086</v>
      </c>
      <c r="AW83" s="16">
        <v>0.40150592572061106</v>
      </c>
      <c r="AX83" s="47">
        <v>-62.207988216523638</v>
      </c>
      <c r="AY83" s="16">
        <v>-2.2933084515666273</v>
      </c>
      <c r="AZ83" s="16">
        <v>-6.9330995696886442</v>
      </c>
      <c r="BA83" s="16">
        <v>-93.641545591309239</v>
      </c>
      <c r="BB83" s="16">
        <v>-110.74289903052478</v>
      </c>
      <c r="BC83" s="47">
        <v>1.4023968788245045</v>
      </c>
      <c r="BD83" s="16">
        <v>1.355650316197021</v>
      </c>
      <c r="BE83" s="16">
        <v>1.2270972689714414</v>
      </c>
      <c r="BF83" s="16">
        <v>1.3556503161970213</v>
      </c>
      <c r="BG83" s="16">
        <v>1.3673369568538918</v>
      </c>
      <c r="BH83" s="47">
        <v>0.16866406568708711</v>
      </c>
      <c r="BI83" s="16">
        <v>0.16866406568708717</v>
      </c>
      <c r="BJ83" s="16">
        <v>0.16866406568708706</v>
      </c>
      <c r="BK83" s="16">
        <v>0.16866406568708736</v>
      </c>
      <c r="BL83" s="16">
        <v>0.16866406568708706</v>
      </c>
      <c r="BM83" s="47">
        <v>1.3129635679891631</v>
      </c>
      <c r="BN83" s="16">
        <v>1.3129635679891636</v>
      </c>
      <c r="BO83" s="16">
        <v>1.3129635679891634</v>
      </c>
      <c r="BP83" s="16">
        <v>1.3129635679891638</v>
      </c>
      <c r="BQ83" s="16">
        <v>1.3129635679891634</v>
      </c>
      <c r="BT83" s="16">
        <v>-394.73581283625657</v>
      </c>
      <c r="BU83" s="47">
        <v>0.441</v>
      </c>
      <c r="BV83" s="16">
        <v>56</v>
      </c>
      <c r="BW83" s="16">
        <v>229.38835500000002</v>
      </c>
      <c r="BX83" s="16">
        <v>73.325175000000002</v>
      </c>
      <c r="BY83" s="47">
        <v>1.2278837190220042E-3</v>
      </c>
      <c r="BZ83" s="16">
        <v>0.15592174209803228</v>
      </c>
      <c r="CA83" s="16">
        <v>0.63868985586789062</v>
      </c>
      <c r="CB83" s="16">
        <v>0.20416051831505508</v>
      </c>
      <c r="CC83" s="47">
        <v>0.48468967789655648</v>
      </c>
      <c r="CD83" s="16">
        <v>61.54789560591194</v>
      </c>
      <c r="CE83" s="16">
        <v>252.11375940628335</v>
      </c>
      <c r="CF83" s="16">
        <v>80.58946814616472</v>
      </c>
      <c r="CG83" s="47">
        <v>1.3188834772695415</v>
      </c>
      <c r="CH83" s="16">
        <v>0.70340452121042218</v>
      </c>
      <c r="CI83" s="16">
        <v>2.0772414766995277</v>
      </c>
      <c r="CJ83" s="16">
        <v>0.72538591249824791</v>
      </c>
      <c r="CK83" s="47">
        <v>9.9069564391284601E-2</v>
      </c>
      <c r="CL83" s="16">
        <v>9.0139484888887747E-2</v>
      </c>
      <c r="CM83" s="16">
        <v>9.0139484888887692E-2</v>
      </c>
      <c r="CN83" s="16">
        <v>9.9069564391284656E-2</v>
      </c>
      <c r="CO83" s="47">
        <v>1.1258916196770881</v>
      </c>
      <c r="CP83" s="16">
        <v>1.1258916196770881</v>
      </c>
      <c r="CQ83" s="16">
        <v>1.1258916196770883</v>
      </c>
      <c r="CR83" s="16">
        <v>1.1258916196770883</v>
      </c>
      <c r="CU83" s="16">
        <v>-79.672482717080129</v>
      </c>
      <c r="CV83" s="47">
        <v>11.426833333333335</v>
      </c>
      <c r="CW83" s="47">
        <v>2.3706168921521487</v>
      </c>
      <c r="CX83" s="47">
        <v>5.9724026239769081</v>
      </c>
      <c r="CY83" s="47">
        <v>6.9724026239769081</v>
      </c>
      <c r="DB83" s="16">
        <v>-108.01733740009884</v>
      </c>
      <c r="DC83" s="52">
        <v>3.9494456087787508</v>
      </c>
      <c r="DD83" s="47">
        <v>2.4046944903265093</v>
      </c>
      <c r="DE83" s="47">
        <v>3.4046944903265093</v>
      </c>
      <c r="DF83" s="47">
        <v>3.825085374986672</v>
      </c>
      <c r="DI83" s="16">
        <v>-55.297650085156015</v>
      </c>
      <c r="DJ83" s="47">
        <v>32.333333333333336</v>
      </c>
      <c r="DK83" s="16">
        <v>23.928333333333338</v>
      </c>
      <c r="DL83" s="47">
        <v>0.57469561868649466</v>
      </c>
      <c r="DM83" s="16">
        <v>0.4253043813135054</v>
      </c>
      <c r="DN83" s="47">
        <v>-31.779317227598028</v>
      </c>
      <c r="DO83" s="16">
        <v>-23.518332857557986</v>
      </c>
      <c r="DP83" s="47">
        <v>0.95337951682794086</v>
      </c>
      <c r="DQ83" s="16">
        <v>2.8797958601091409</v>
      </c>
      <c r="DR83" s="47">
        <v>1.7433228718148196E-2</v>
      </c>
      <c r="DS83" s="16">
        <v>1.74332287181483E-2</v>
      </c>
      <c r="DV83" s="16">
        <v>-59.991095208046296</v>
      </c>
      <c r="DW83" s="47">
        <v>2.0086304199122642</v>
      </c>
      <c r="DX83" s="47">
        <v>0.4587053800210697</v>
      </c>
      <c r="DY83" s="47">
        <v>0.47613860873921798</v>
      </c>
      <c r="DZ83" s="47">
        <v>1</v>
      </c>
    </row>
    <row r="84" spans="1:130" x14ac:dyDescent="0.35">
      <c r="A84" s="13">
        <v>45383</v>
      </c>
      <c r="B84" s="47">
        <v>-70.707419534338641</v>
      </c>
      <c r="C84" s="47">
        <v>30.129999999999995</v>
      </c>
      <c r="D84" s="16">
        <v>8.3062500000000004</v>
      </c>
      <c r="E84" s="16">
        <v>34.797874999999998</v>
      </c>
      <c r="F84" s="47">
        <v>0.41142022247142296</v>
      </c>
      <c r="G84" s="16">
        <v>0.11342048532702481</v>
      </c>
      <c r="H84" s="16">
        <v>0.47515929220155223</v>
      </c>
      <c r="I84" s="47">
        <v>-29.09046227519784</v>
      </c>
      <c r="J84" s="16">
        <v>-8.0196698398062427</v>
      </c>
      <c r="K84" s="16">
        <v>-33.597287419334556</v>
      </c>
      <c r="L84" s="47">
        <v>1.110322987602971</v>
      </c>
      <c r="M84" s="16">
        <v>1.2068728126119252</v>
      </c>
      <c r="N84" s="16">
        <v>1.013773162594017</v>
      </c>
      <c r="O84" s="47">
        <v>-3.4501749910459935E-2</v>
      </c>
      <c r="P84" s="16">
        <v>-3.4501749910459803E-2</v>
      </c>
      <c r="Q84" s="16">
        <v>-3.4501749910460087E-2</v>
      </c>
      <c r="R84" s="47">
        <v>1.0947941939773558</v>
      </c>
      <c r="S84" s="16">
        <v>1.094794193977356</v>
      </c>
      <c r="T84" s="16">
        <v>1.0947941939773558</v>
      </c>
      <c r="V84" s="16">
        <v>-175.52184852263926</v>
      </c>
      <c r="W84" s="47">
        <v>84.160833333333329</v>
      </c>
      <c r="X84" s="16">
        <v>71.34375</v>
      </c>
      <c r="Y84" s="16">
        <v>43.522500000000001</v>
      </c>
      <c r="Z84" s="47">
        <v>0.4228612102624224</v>
      </c>
      <c r="AA84" s="16">
        <v>0.35846252080432939</v>
      </c>
      <c r="AB84" s="16">
        <v>0.21867626893324821</v>
      </c>
      <c r="AC84" s="47">
        <v>-74.221381293780809</v>
      </c>
      <c r="AD84" s="16">
        <v>-62.918004277660927</v>
      </c>
      <c r="AE84" s="16">
        <v>-38.382462951197517</v>
      </c>
      <c r="AF84" s="47">
        <v>1.0141842126228304</v>
      </c>
      <c r="AG84" s="16">
        <v>1.1023741441552506</v>
      </c>
      <c r="AH84" s="16">
        <v>0.92599428109041049</v>
      </c>
      <c r="AI84" s="47">
        <v>-0.13391629024270627</v>
      </c>
      <c r="AJ84" s="16">
        <v>-0.13391629024270624</v>
      </c>
      <c r="AK84" s="16">
        <v>-0.13391629024270629</v>
      </c>
      <c r="AM84" s="16">
        <v>-261.08443761609658</v>
      </c>
      <c r="AN84" s="47">
        <v>55.447916666666664</v>
      </c>
      <c r="AO84" s="16">
        <v>1.9454166666666666</v>
      </c>
      <c r="AP84" s="16">
        <v>5.9325000000000001</v>
      </c>
      <c r="AQ84" s="16">
        <v>77.364000000000004</v>
      </c>
      <c r="AR84" s="16">
        <v>94.760249999999985</v>
      </c>
      <c r="AS84" s="47">
        <v>0.2354975453041887</v>
      </c>
      <c r="AT84" s="16">
        <v>8.2625439716344697E-3</v>
      </c>
      <c r="AU84" s="16">
        <v>2.51964234457339E-2</v>
      </c>
      <c r="AV84" s="16">
        <v>0.32857919990826084</v>
      </c>
      <c r="AW84" s="16">
        <v>0.40246428737018214</v>
      </c>
      <c r="AX84" s="47">
        <v>-61.484744175715335</v>
      </c>
      <c r="AY84" s="16">
        <v>-2.1572216461124545</v>
      </c>
      <c r="AZ84" s="16">
        <v>-6.5783940452664655</v>
      </c>
      <c r="BA84" s="16">
        <v>-85.786915620395249</v>
      </c>
      <c r="BB84" s="16">
        <v>-105.07716212860709</v>
      </c>
      <c r="BC84" s="47">
        <v>1.386092297780545</v>
      </c>
      <c r="BD84" s="16">
        <v>1.2752049139581012</v>
      </c>
      <c r="BE84" s="16">
        <v>1.1643175301356576</v>
      </c>
      <c r="BF84" s="16">
        <v>1.2419386988113681</v>
      </c>
      <c r="BG84" s="16">
        <v>1.2973823907225897</v>
      </c>
      <c r="BH84" s="47">
        <v>0.108873838224436</v>
      </c>
      <c r="BI84" s="16">
        <v>0.10887383822443591</v>
      </c>
      <c r="BJ84" s="16">
        <v>0.1088738382244358</v>
      </c>
      <c r="BK84" s="16">
        <v>0.10887383822443569</v>
      </c>
      <c r="BL84" s="16">
        <v>0.10887383822443567</v>
      </c>
      <c r="BM84" s="47">
        <v>1.2573701089866431</v>
      </c>
      <c r="BN84" s="16">
        <v>1.2573701089866431</v>
      </c>
      <c r="BO84" s="16">
        <v>1.2573701089866431</v>
      </c>
      <c r="BP84" s="16">
        <v>1.2573701089866429</v>
      </c>
      <c r="BQ84" s="16">
        <v>1.2573701089866429</v>
      </c>
      <c r="BT84" s="16">
        <v>-391.07865948870983</v>
      </c>
      <c r="BU84" s="47">
        <v>0.45937500000000003</v>
      </c>
      <c r="BV84" s="16">
        <v>56</v>
      </c>
      <c r="BW84" s="16">
        <v>222.10618500000001</v>
      </c>
      <c r="BX84" s="16">
        <v>74.436162500000009</v>
      </c>
      <c r="BY84" s="47">
        <v>1.3013392590456834E-3</v>
      </c>
      <c r="BZ84" s="16">
        <v>0.15863945253128331</v>
      </c>
      <c r="CA84" s="16">
        <v>0.62919292128949877</v>
      </c>
      <c r="CB84" s="16">
        <v>0.2108662869201722</v>
      </c>
      <c r="CC84" s="47">
        <v>0.50892601296761675</v>
      </c>
      <c r="CD84" s="16">
        <v>62.04050443795709</v>
      </c>
      <c r="CE84" s="16">
        <v>246.06392421768251</v>
      </c>
      <c r="CF84" s="16">
        <v>82.465304820102617</v>
      </c>
      <c r="CG84" s="47">
        <v>1.3848326883472564</v>
      </c>
      <c r="CH84" s="16">
        <v>0.70903433643379532</v>
      </c>
      <c r="CI84" s="16">
        <v>2.0273950557403833</v>
      </c>
      <c r="CJ84" s="16">
        <v>0.7422703209541297</v>
      </c>
      <c r="CK84" s="47">
        <v>0.1078661506778051</v>
      </c>
      <c r="CL84" s="16">
        <v>9.7363883364259676E-2</v>
      </c>
      <c r="CM84" s="16">
        <v>9.7363883364259565E-2</v>
      </c>
      <c r="CN84" s="16">
        <v>0.10786615067780546</v>
      </c>
      <c r="CO84" s="47">
        <v>1.1367262185221916</v>
      </c>
      <c r="CP84" s="16">
        <v>1.1367262185221918</v>
      </c>
      <c r="CQ84" s="16">
        <v>1.1367262185221916</v>
      </c>
      <c r="CR84" s="16">
        <v>1.136726218522192</v>
      </c>
      <c r="CU84" s="16">
        <v>-80.820733650762804</v>
      </c>
      <c r="CV84" s="47">
        <v>10.754666666666667</v>
      </c>
      <c r="CW84" s="47">
        <v>2.4047825534568648</v>
      </c>
      <c r="CX84" s="47">
        <v>6.5149454795527024</v>
      </c>
      <c r="CY84" s="47">
        <v>7.5149454795527024</v>
      </c>
      <c r="DB84" s="16">
        <v>-108.01602021697671</v>
      </c>
      <c r="DC84" s="52">
        <v>3.9493974485183441</v>
      </c>
      <c r="DD84" s="47">
        <v>2.4342586508855169</v>
      </c>
      <c r="DE84" s="47">
        <v>3.4342586508855169</v>
      </c>
      <c r="DF84" s="47">
        <v>3.8941618291460265</v>
      </c>
      <c r="DI84" s="16">
        <v>-56.637910288293718</v>
      </c>
      <c r="DJ84" s="47">
        <v>31</v>
      </c>
      <c r="DK84" s="16">
        <v>24.091666666666669</v>
      </c>
      <c r="DL84" s="47">
        <v>0.5626985327484495</v>
      </c>
      <c r="DM84" s="16">
        <v>0.43730146725155045</v>
      </c>
      <c r="DN84" s="47">
        <v>-31.870069017161189</v>
      </c>
      <c r="DO84" s="16">
        <v>-24.767841271132529</v>
      </c>
      <c r="DP84" s="47">
        <v>0.95610207051483576</v>
      </c>
      <c r="DQ84" s="16">
        <v>3.0327968903427589</v>
      </c>
      <c r="DR84" s="47">
        <v>-2.7300506211413632E-2</v>
      </c>
      <c r="DS84" s="16">
        <v>-2.7300506211413725E-2</v>
      </c>
      <c r="DV84" s="16">
        <v>-57.699898769643156</v>
      </c>
      <c r="DW84" s="47">
        <v>1.9319162534478735</v>
      </c>
      <c r="DX84" s="47">
        <v>0.52698130404729593</v>
      </c>
      <c r="DY84" s="47">
        <v>0.49968079783588221</v>
      </c>
      <c r="DZ84" s="47">
        <v>1</v>
      </c>
    </row>
    <row r="85" spans="1:130" x14ac:dyDescent="0.35">
      <c r="A85" s="13">
        <v>45413</v>
      </c>
      <c r="B85" s="47">
        <v>-73.25166059560776</v>
      </c>
      <c r="C85" s="47">
        <v>30.129999999999995</v>
      </c>
      <c r="D85" s="16">
        <v>8.3727</v>
      </c>
      <c r="E85" s="16">
        <v>35.129283333333333</v>
      </c>
      <c r="F85" s="47">
        <v>0.40919718084464651</v>
      </c>
      <c r="G85" s="16">
        <v>0.11371009744633165</v>
      </c>
      <c r="H85" s="16">
        <v>0.47709272170902189</v>
      </c>
      <c r="I85" s="47">
        <v>-29.974373007911577</v>
      </c>
      <c r="J85" s="16">
        <v>-8.3294534644321701</v>
      </c>
      <c r="K85" s="16">
        <v>-34.947834123264016</v>
      </c>
      <c r="L85" s="47">
        <v>1.1440600384699076</v>
      </c>
      <c r="M85" s="16">
        <v>1.2534918682365945</v>
      </c>
      <c r="N85" s="16">
        <v>1.0545249050244367</v>
      </c>
      <c r="O85" s="47">
        <v>-5.1651839392107416E-3</v>
      </c>
      <c r="P85" s="16">
        <v>-5.1651839392106965E-3</v>
      </c>
      <c r="Q85" s="16">
        <v>-5.1651839392106696E-3</v>
      </c>
      <c r="R85" s="47">
        <v>1.1630479447900324</v>
      </c>
      <c r="S85" s="16">
        <v>1.1630479447900326</v>
      </c>
      <c r="T85" s="16">
        <v>1.1630479447900324</v>
      </c>
      <c r="V85" s="16">
        <v>-171.08429083504217</v>
      </c>
      <c r="W85" s="47">
        <v>84.160833333333329</v>
      </c>
      <c r="X85" s="16">
        <v>71.91449999999999</v>
      </c>
      <c r="Y85" s="16">
        <v>43.937000000000005</v>
      </c>
      <c r="Z85" s="47">
        <v>0.42077821867651488</v>
      </c>
      <c r="AA85" s="16">
        <v>0.3595503277297899</v>
      </c>
      <c r="AB85" s="16">
        <v>0.21967145359369505</v>
      </c>
      <c r="AC85" s="47">
        <v>-71.988543141103847</v>
      </c>
      <c r="AD85" s="16">
        <v>-61.5134128391581</v>
      </c>
      <c r="AE85" s="16">
        <v>-37.582334854780193</v>
      </c>
      <c r="AF85" s="47">
        <v>0.98367401240406072</v>
      </c>
      <c r="AG85" s="16">
        <v>1.0777645701122751</v>
      </c>
      <c r="AH85" s="16">
        <v>0.9066908288246126</v>
      </c>
      <c r="AI85" s="47">
        <v>-0.16908649155978514</v>
      </c>
      <c r="AJ85" s="16">
        <v>-0.16908649155978536</v>
      </c>
      <c r="AK85" s="16">
        <v>-0.16908649155978514</v>
      </c>
      <c r="AM85" s="16">
        <v>-268.30350766949078</v>
      </c>
      <c r="AN85" s="47">
        <v>55.891500000000001</v>
      </c>
      <c r="AO85" s="16">
        <v>1.9454166666666666</v>
      </c>
      <c r="AP85" s="16">
        <v>5.9889999999999999</v>
      </c>
      <c r="AQ85" s="16">
        <v>78.054749999999999</v>
      </c>
      <c r="AR85" s="16">
        <v>93.140416666666667</v>
      </c>
      <c r="AS85" s="47">
        <v>0.23781483434287637</v>
      </c>
      <c r="AT85" s="16">
        <v>8.2776261562349206E-3</v>
      </c>
      <c r="AU85" s="16">
        <v>2.5482820158333315E-2</v>
      </c>
      <c r="AV85" s="16">
        <v>0.33211807593148562</v>
      </c>
      <c r="AW85" s="16">
        <v>0.39630664341106991</v>
      </c>
      <c r="AX85" s="47">
        <v>-63.80655423003261</v>
      </c>
      <c r="AY85" s="16">
        <v>-2.2209161328945535</v>
      </c>
      <c r="AZ85" s="16">
        <v>-6.8371300337916372</v>
      </c>
      <c r="BA85" s="16">
        <v>-89.10844473285988</v>
      </c>
      <c r="BB85" s="16">
        <v>-106.33046253991215</v>
      </c>
      <c r="BC85" s="47">
        <v>1.4384344368972224</v>
      </c>
      <c r="BD85" s="16">
        <v>1.3128568273268295</v>
      </c>
      <c r="BE85" s="16">
        <v>1.2101115104055995</v>
      </c>
      <c r="BF85" s="16">
        <v>1.2900245346776675</v>
      </c>
      <c r="BG85" s="16">
        <v>1.3128568273268297</v>
      </c>
      <c r="BH85" s="47">
        <v>0.14161463245811301</v>
      </c>
      <c r="BI85" s="16">
        <v>0.1416146324581127</v>
      </c>
      <c r="BJ85" s="16">
        <v>0.14161463245811268</v>
      </c>
      <c r="BK85" s="16">
        <v>0.14161463245811298</v>
      </c>
      <c r="BL85" s="16">
        <v>0.1416146324581129</v>
      </c>
      <c r="BM85" s="47">
        <v>1.3346462453737693</v>
      </c>
      <c r="BN85" s="16">
        <v>1.3346462453737686</v>
      </c>
      <c r="BO85" s="16">
        <v>1.3346462453737686</v>
      </c>
      <c r="BP85" s="16">
        <v>1.3346462453737691</v>
      </c>
      <c r="BQ85" s="16">
        <v>1.3346462453737689</v>
      </c>
      <c r="BT85" s="16">
        <v>-388.9772296672237</v>
      </c>
      <c r="BU85" s="47">
        <v>0.46305000000000002</v>
      </c>
      <c r="BV85" s="16">
        <v>54.25</v>
      </c>
      <c r="BW85" s="16">
        <v>217.25140500000001</v>
      </c>
      <c r="BX85" s="16">
        <v>73.325175000000002</v>
      </c>
      <c r="BY85" s="47">
        <v>1.3410480934512863E-3</v>
      </c>
      <c r="BZ85" s="16">
        <v>0.15711447806874479</v>
      </c>
      <c r="CA85" s="16">
        <v>0.62918601117560358</v>
      </c>
      <c r="CB85" s="16">
        <v>0.21235846266220043</v>
      </c>
      <c r="CC85" s="47">
        <v>0.52163717224119344</v>
      </c>
      <c r="CD85" s="16">
        <v>61.113954419792123</v>
      </c>
      <c r="CE85" s="16">
        <v>244.73903157245712</v>
      </c>
      <c r="CF85" s="16">
        <v>82.602606502733281</v>
      </c>
      <c r="CG85" s="47">
        <v>1.4194208768467849</v>
      </c>
      <c r="CH85" s="16">
        <v>0.69844519336905286</v>
      </c>
      <c r="CI85" s="16">
        <v>2.0164788647267815</v>
      </c>
      <c r="CJ85" s="16">
        <v>0.74350617358641102</v>
      </c>
      <c r="CK85" s="47">
        <v>0.12652450543395624</v>
      </c>
      <c r="CL85" s="16">
        <v>0.11231402852192449</v>
      </c>
      <c r="CM85" s="16">
        <v>0.1123140285219244</v>
      </c>
      <c r="CN85" s="16">
        <v>0.12652450543395605</v>
      </c>
      <c r="CO85" s="47">
        <v>1.1744716258046426</v>
      </c>
      <c r="CP85" s="16">
        <v>1.1744716258046426</v>
      </c>
      <c r="CQ85" s="16">
        <v>1.1744716258046424</v>
      </c>
      <c r="CR85" s="16">
        <v>1.1744716258046421</v>
      </c>
      <c r="CU85" s="16">
        <v>-83.408990677216138</v>
      </c>
      <c r="CV85" s="47">
        <v>11.09075</v>
      </c>
      <c r="CW85" s="47">
        <v>2.4817949122900909</v>
      </c>
      <c r="CX85" s="47">
        <v>6.5205906433033052</v>
      </c>
      <c r="CY85" s="47">
        <v>7.5205906433033052</v>
      </c>
      <c r="DB85" s="16">
        <v>-108.06908834649667</v>
      </c>
      <c r="DC85" s="52">
        <v>3.9513377823216329</v>
      </c>
      <c r="DD85" s="47">
        <v>2.4359458976709853</v>
      </c>
      <c r="DE85" s="47">
        <v>3.4359458976709853</v>
      </c>
      <c r="DF85" s="47">
        <v>4.0169179346974087</v>
      </c>
      <c r="DI85" s="16">
        <v>-58.677702190142256</v>
      </c>
      <c r="DJ85" s="47">
        <v>30</v>
      </c>
      <c r="DK85" s="16">
        <v>24.418333333333337</v>
      </c>
      <c r="DL85" s="47">
        <v>0.55128479985299073</v>
      </c>
      <c r="DM85" s="16">
        <v>0.44871520014700933</v>
      </c>
      <c r="DN85" s="47">
        <v>-32.348125307725972</v>
      </c>
      <c r="DO85" s="16">
        <v>-26.329576882416291</v>
      </c>
      <c r="DP85" s="47">
        <v>0.97044375923177917</v>
      </c>
      <c r="DQ85" s="16">
        <v>3.2240298223366888</v>
      </c>
      <c r="DR85" s="47">
        <v>-7.2589223807821388E-2</v>
      </c>
      <c r="DS85" s="16">
        <v>-7.2589223807821401E-2</v>
      </c>
      <c r="DV85" s="16">
        <v>-58.843637817946458</v>
      </c>
      <c r="DW85" s="47">
        <v>1.9702110876544574</v>
      </c>
      <c r="DX85" s="47">
        <v>0.51760388454599793</v>
      </c>
      <c r="DY85" s="47">
        <v>0.44501466073817653</v>
      </c>
      <c r="DZ85" s="47">
        <v>1</v>
      </c>
    </row>
    <row r="86" spans="1:130" x14ac:dyDescent="0.35">
      <c r="A86" s="13">
        <v>45444</v>
      </c>
      <c r="B86" s="47">
        <v>-77.541789950729552</v>
      </c>
      <c r="C86" s="47">
        <v>30.653999999999996</v>
      </c>
      <c r="D86" s="16">
        <v>7.9739999999999993</v>
      </c>
      <c r="E86" s="16">
        <v>35.460691666666669</v>
      </c>
      <c r="F86" s="47">
        <v>0.41374735213189867</v>
      </c>
      <c r="G86" s="16">
        <v>0.10762776100671234</v>
      </c>
      <c r="H86" s="16">
        <v>0.47862488686138904</v>
      </c>
      <c r="I86" s="47">
        <v>-32.082710271682224</v>
      </c>
      <c r="J86" s="16">
        <v>-8.345649236849809</v>
      </c>
      <c r="K86" s="16">
        <v>-37.113430442197526</v>
      </c>
      <c r="L86" s="47">
        <v>1.224530926400085</v>
      </c>
      <c r="M86" s="16">
        <v>1.2559291552821383</v>
      </c>
      <c r="N86" s="16">
        <v>1.1198701634599069</v>
      </c>
      <c r="O86" s="47">
        <v>4.6607629401782105E-2</v>
      </c>
      <c r="P86" s="16">
        <v>4.660762940178198E-2</v>
      </c>
      <c r="Q86" s="16">
        <v>4.6607629401782057E-2</v>
      </c>
      <c r="R86" s="47">
        <v>1.2292401866413023</v>
      </c>
      <c r="S86" s="16">
        <v>1.2292401866413023</v>
      </c>
      <c r="T86" s="16">
        <v>1.2292401866413025</v>
      </c>
      <c r="V86" s="16">
        <v>-168.97920523116326</v>
      </c>
      <c r="W86" s="47">
        <v>85.624499999999998</v>
      </c>
      <c r="X86" s="16">
        <v>68.489999999999995</v>
      </c>
      <c r="Y86" s="16">
        <v>44.351499999999994</v>
      </c>
      <c r="Z86" s="47">
        <v>0.43143158022028966</v>
      </c>
      <c r="AA86" s="16">
        <v>0.34509689317061865</v>
      </c>
      <c r="AB86" s="16">
        <v>0.22347152660909173</v>
      </c>
      <c r="AC86" s="47">
        <v>-72.902965537249401</v>
      </c>
      <c r="AD86" s="16">
        <v>-58.31419873571479</v>
      </c>
      <c r="AE86" s="16">
        <v>-37.762040958199073</v>
      </c>
      <c r="AF86" s="47">
        <v>0.99616896657594256</v>
      </c>
      <c r="AG86" s="16">
        <v>1.0217117605907102</v>
      </c>
      <c r="AH86" s="16">
        <v>0.91102631986005</v>
      </c>
      <c r="AI86" s="47">
        <v>-0.1744995470211784</v>
      </c>
      <c r="AJ86" s="16">
        <v>-0.17449954702117851</v>
      </c>
      <c r="AK86" s="16">
        <v>-0.17449954702117856</v>
      </c>
      <c r="AM86" s="16">
        <v>-282.88385295189028</v>
      </c>
      <c r="AN86" s="47">
        <v>53.22999999999999</v>
      </c>
      <c r="AO86" s="16">
        <v>1.9792499999999997</v>
      </c>
      <c r="AP86" s="16">
        <v>6.0455000000000005</v>
      </c>
      <c r="AQ86" s="16">
        <v>78.745499999999993</v>
      </c>
      <c r="AR86" s="16">
        <v>93.950333333333333</v>
      </c>
      <c r="AS86" s="47">
        <v>0.22752668209490107</v>
      </c>
      <c r="AT86" s="16">
        <v>8.460119961231128E-3</v>
      </c>
      <c r="AU86" s="16">
        <v>2.5840927232852241E-2</v>
      </c>
      <c r="AV86" s="16">
        <v>0.3365903126978026</v>
      </c>
      <c r="AW86" s="16">
        <v>0.40158195801321289</v>
      </c>
      <c r="AX86" s="47">
        <v>-64.363624480365473</v>
      </c>
      <c r="AY86" s="16">
        <v>-2.3932313310682582</v>
      </c>
      <c r="AZ86" s="16">
        <v>-7.3099810594786705</v>
      </c>
      <c r="BA86" s="16">
        <v>-95.21596452223595</v>
      </c>
      <c r="BB86" s="16">
        <v>-113.60105155874189</v>
      </c>
      <c r="BC86" s="47">
        <v>1.4509928494540405</v>
      </c>
      <c r="BD86" s="16">
        <v>1.4147180282176897</v>
      </c>
      <c r="BE86" s="16">
        <v>1.2938019574298534</v>
      </c>
      <c r="BF86" s="16">
        <v>1.3784432069813386</v>
      </c>
      <c r="BG86" s="16">
        <v>1.4026264211389059</v>
      </c>
      <c r="BH86" s="47">
        <v>0.20916070787836713</v>
      </c>
      <c r="BI86" s="16">
        <v>0.2091607078783673</v>
      </c>
      <c r="BJ86" s="16">
        <v>0.20916070787836757</v>
      </c>
      <c r="BK86" s="16">
        <v>0.2091607078783673</v>
      </c>
      <c r="BL86" s="16">
        <v>0.20916070787836724</v>
      </c>
      <c r="BM86" s="47">
        <v>1.4201587036789498</v>
      </c>
      <c r="BN86" s="16">
        <v>1.4201587036789498</v>
      </c>
      <c r="BO86" s="16">
        <v>1.4201587036789505</v>
      </c>
      <c r="BP86" s="16">
        <v>1.4201587036789498</v>
      </c>
      <c r="BQ86" s="16">
        <v>1.4201587036789496</v>
      </c>
      <c r="BT86" s="16">
        <v>-371.85410739297822</v>
      </c>
      <c r="BU86" s="47">
        <v>0.441</v>
      </c>
      <c r="BV86" s="16">
        <v>53.375</v>
      </c>
      <c r="BW86" s="16">
        <v>216.03771000000003</v>
      </c>
      <c r="BX86" s="16">
        <v>67.770237499999993</v>
      </c>
      <c r="BY86" s="47">
        <v>1.3061869670841402E-3</v>
      </c>
      <c r="BZ86" s="16">
        <v>0.15809008927010426</v>
      </c>
      <c r="CA86" s="16">
        <v>0.63987673741656015</v>
      </c>
      <c r="CB86" s="16">
        <v>0.20072698634625136</v>
      </c>
      <c r="CC86" s="47">
        <v>0.48571098873341439</v>
      </c>
      <c r="CD86" s="16">
        <v>58.786449033210864</v>
      </c>
      <c r="CE86" s="16">
        <v>237.94079303356608</v>
      </c>
      <c r="CF86" s="16">
        <v>74.641154337467825</v>
      </c>
      <c r="CG86" s="47">
        <v>1.3216625543766378</v>
      </c>
      <c r="CH86" s="16">
        <v>0.67184513180812422</v>
      </c>
      <c r="CI86" s="16">
        <v>1.9604661223253457</v>
      </c>
      <c r="CJ86" s="16">
        <v>0.67184513180812411</v>
      </c>
      <c r="CK86" s="47">
        <v>0.10138546198053155</v>
      </c>
      <c r="CL86" s="16">
        <v>9.2052660472037043E-2</v>
      </c>
      <c r="CM86" s="16">
        <v>9.2052660472036821E-2</v>
      </c>
      <c r="CN86" s="16">
        <v>0.10138546198053135</v>
      </c>
      <c r="CO86" s="47">
        <v>1.1819122523103083</v>
      </c>
      <c r="CP86" s="16">
        <v>1.1819122523103083</v>
      </c>
      <c r="CQ86" s="16">
        <v>1.1819122523103081</v>
      </c>
      <c r="CR86" s="16">
        <v>1.1819122523103081</v>
      </c>
      <c r="CU86" s="16">
        <v>-85.212421388875612</v>
      </c>
      <c r="CV86" s="47">
        <v>11.762916666666667</v>
      </c>
      <c r="CW86" s="47">
        <v>2.5354551367877693</v>
      </c>
      <c r="CX86" s="47">
        <v>6.2441575336793411</v>
      </c>
      <c r="CY86" s="47">
        <v>7.2441575336793411</v>
      </c>
      <c r="DB86" s="16">
        <v>-108.09638963343833</v>
      </c>
      <c r="DC86" s="52">
        <v>3.9523360012226081</v>
      </c>
      <c r="DD86" s="47">
        <v>2.3780649583099218</v>
      </c>
      <c r="DE86" s="47">
        <v>3.3780649583099218</v>
      </c>
      <c r="DF86" s="47">
        <v>3.9675357633431183</v>
      </c>
      <c r="DI86" s="16">
        <v>-60.43894201217126</v>
      </c>
      <c r="DJ86" s="47">
        <v>28.666666666666668</v>
      </c>
      <c r="DK86" s="16">
        <v>24.99</v>
      </c>
      <c r="DL86" s="47">
        <v>0.53426104243026651</v>
      </c>
      <c r="DM86" s="16">
        <v>0.46573895756973349</v>
      </c>
      <c r="DN86" s="47">
        <v>-32.29017216280505</v>
      </c>
      <c r="DO86" s="16">
        <v>-28.148769849366214</v>
      </c>
      <c r="DP86" s="47">
        <v>0.96870516488415137</v>
      </c>
      <c r="DQ86" s="16">
        <v>3.4467881448203528</v>
      </c>
      <c r="DR86" s="47">
        <v>-0.11221697666611653</v>
      </c>
      <c r="DS86" s="16">
        <v>-0.11221697666611656</v>
      </c>
      <c r="DV86" s="16">
        <v>-59.273937067434979</v>
      </c>
      <c r="DW86" s="47">
        <v>1.9846184285971535</v>
      </c>
      <c r="DX86" s="47">
        <v>0.54185810023087921</v>
      </c>
      <c r="DY86" s="47">
        <v>0.42964112356476264</v>
      </c>
      <c r="DZ86" s="47">
        <v>1</v>
      </c>
    </row>
    <row r="87" spans="1:130" x14ac:dyDescent="0.35">
      <c r="A87" s="13">
        <v>45474</v>
      </c>
      <c r="B87" s="47">
        <v>-77.225499546402233</v>
      </c>
      <c r="C87" s="47">
        <v>31.177999999999997</v>
      </c>
      <c r="D87" s="16">
        <v>7.5752999999999986</v>
      </c>
      <c r="E87" s="16">
        <v>35.129283333333333</v>
      </c>
      <c r="F87" s="47">
        <v>0.42199390699883033</v>
      </c>
      <c r="G87" s="16">
        <v>0.10253160702059912</v>
      </c>
      <c r="H87" s="16">
        <v>0.47547448598057057</v>
      </c>
      <c r="I87" s="47">
        <v>-32.58869027352268</v>
      </c>
      <c r="J87" s="16">
        <v>-7.9180545714611688</v>
      </c>
      <c r="K87" s="16">
        <v>-36.718754701418391</v>
      </c>
      <c r="L87" s="47">
        <v>1.2438431402107895</v>
      </c>
      <c r="M87" s="16">
        <v>1.1915808233952099</v>
      </c>
      <c r="N87" s="16">
        <v>1.1079611164902832</v>
      </c>
      <c r="O87" s="47">
        <v>4.5246336311587823E-2</v>
      </c>
      <c r="P87" s="16">
        <v>4.5246336311587698E-2</v>
      </c>
      <c r="Q87" s="16">
        <v>4.5246336311587844E-2</v>
      </c>
      <c r="R87" s="47">
        <v>1.214948520839747</v>
      </c>
      <c r="S87" s="16">
        <v>1.2149485208397464</v>
      </c>
      <c r="T87" s="16">
        <v>1.2149485208397468</v>
      </c>
      <c r="V87" s="16">
        <v>-168.70101687647144</v>
      </c>
      <c r="W87" s="47">
        <v>87.088166666666666</v>
      </c>
      <c r="X87" s="16">
        <v>65.0655</v>
      </c>
      <c r="Y87" s="16">
        <v>43.937000000000005</v>
      </c>
      <c r="Z87" s="47">
        <v>0.44412193679114426</v>
      </c>
      <c r="AA87" s="16">
        <v>0.33181334484728153</v>
      </c>
      <c r="AB87" s="16">
        <v>0.22406471836157427</v>
      </c>
      <c r="AC87" s="47">
        <v>-74.923822353814003</v>
      </c>
      <c r="AD87" s="16">
        <v>-55.97724868891968</v>
      </c>
      <c r="AE87" s="16">
        <v>-37.799945833737759</v>
      </c>
      <c r="AF87" s="47">
        <v>1.0237825873898518</v>
      </c>
      <c r="AG87" s="16">
        <v>0.98076651228943823</v>
      </c>
      <c r="AH87" s="16">
        <v>0.91194079212877588</v>
      </c>
      <c r="AI87" s="47">
        <v>-0.16235616297589292</v>
      </c>
      <c r="AJ87" s="16">
        <v>-0.16235616297589248</v>
      </c>
      <c r="AK87" s="16">
        <v>-0.16235616297589264</v>
      </c>
      <c r="AM87" s="16">
        <v>-282.94273357927329</v>
      </c>
      <c r="AN87" s="47">
        <v>50.568499999999993</v>
      </c>
      <c r="AO87" s="16">
        <v>2.0130833333333333</v>
      </c>
      <c r="AP87" s="16">
        <v>5.9889999999999999</v>
      </c>
      <c r="AQ87" s="16">
        <v>80.126999999999995</v>
      </c>
      <c r="AR87" s="16">
        <v>93.950333333333333</v>
      </c>
      <c r="AS87" s="47">
        <v>0.21736063973636843</v>
      </c>
      <c r="AT87" s="16">
        <v>8.6529179464677492E-3</v>
      </c>
      <c r="AU87" s="16">
        <v>2.5742762221167538E-2</v>
      </c>
      <c r="AV87" s="16">
        <v>0.34441314217657226</v>
      </c>
      <c r="AW87" s="16">
        <v>0.40383053791942408</v>
      </c>
      <c r="AX87" s="47">
        <v>-61.500613579547696</v>
      </c>
      <c r="AY87" s="16">
        <v>-2.4482802572107372</v>
      </c>
      <c r="AZ87" s="16">
        <v>-7.2837275127383885</v>
      </c>
      <c r="BA87" s="16">
        <v>-97.44919592806626</v>
      </c>
      <c r="BB87" s="16">
        <v>-114.26091630171022</v>
      </c>
      <c r="BC87" s="47">
        <v>1.3864500525165742</v>
      </c>
      <c r="BD87" s="16">
        <v>1.4472592653462486</v>
      </c>
      <c r="BE87" s="16">
        <v>1.2891553119890953</v>
      </c>
      <c r="BF87" s="16">
        <v>1.4107737376484439</v>
      </c>
      <c r="BG87" s="16">
        <v>1.4107737376484439</v>
      </c>
      <c r="BH87" s="47">
        <v>0.21618425659348622</v>
      </c>
      <c r="BI87" s="16">
        <v>0.21618425659348628</v>
      </c>
      <c r="BJ87" s="16">
        <v>0.21618425659348606</v>
      </c>
      <c r="BK87" s="16">
        <v>0.21618425659348622</v>
      </c>
      <c r="BL87" s="16">
        <v>0.21618425659348622</v>
      </c>
      <c r="BM87" s="47">
        <v>1.4136392659656929</v>
      </c>
      <c r="BN87" s="16">
        <v>1.4136392659656933</v>
      </c>
      <c r="BO87" s="16">
        <v>1.4136392659656931</v>
      </c>
      <c r="BP87" s="16">
        <v>1.4136392659656936</v>
      </c>
      <c r="BQ87" s="16">
        <v>1.4136392659656936</v>
      </c>
      <c r="BT87" s="16">
        <v>-401.34463677332639</v>
      </c>
      <c r="BU87" s="47">
        <v>0.41894999999999999</v>
      </c>
      <c r="BV87" s="16">
        <v>53.375</v>
      </c>
      <c r="BW87" s="16">
        <v>217.25140500000001</v>
      </c>
      <c r="BX87" s="16">
        <v>71.103200000000001</v>
      </c>
      <c r="BY87" s="47">
        <v>1.224468126133106E-3</v>
      </c>
      <c r="BZ87" s="16">
        <v>0.15599948975380004</v>
      </c>
      <c r="CA87" s="16">
        <v>0.63496221692358157</v>
      </c>
      <c r="CB87" s="16">
        <v>0.20781382519648517</v>
      </c>
      <c r="CC87" s="47">
        <v>0.49143371532340702</v>
      </c>
      <c r="CD87" s="16">
        <v>62.609558552063127</v>
      </c>
      <c r="CE87" s="16">
        <v>254.83868031598092</v>
      </c>
      <c r="CF87" s="16">
        <v>83.404964189958889</v>
      </c>
      <c r="CG87" s="47">
        <v>1.3372345995194748</v>
      </c>
      <c r="CH87" s="16">
        <v>0.71553781202357858</v>
      </c>
      <c r="CI87" s="16">
        <v>2.0996929238068942</v>
      </c>
      <c r="CJ87" s="16">
        <v>0.75072819622145981</v>
      </c>
      <c r="CK87" s="47">
        <v>0.1730128065960306</v>
      </c>
      <c r="CL87" s="16">
        <v>0.1474943884867693</v>
      </c>
      <c r="CM87" s="16">
        <v>0.14749438848676913</v>
      </c>
      <c r="CN87" s="16">
        <v>0.17301280659603094</v>
      </c>
      <c r="CO87" s="47">
        <v>1.1605124271542793</v>
      </c>
      <c r="CP87" s="16">
        <v>1.1605124271542793</v>
      </c>
      <c r="CQ87" s="16">
        <v>1.1605124271542788</v>
      </c>
      <c r="CR87" s="16">
        <v>1.1605124271542797</v>
      </c>
      <c r="CU87" s="16">
        <v>-83.93765622899474</v>
      </c>
      <c r="CV87" s="47">
        <v>11.762916666666667</v>
      </c>
      <c r="CW87" s="47">
        <v>2.4975251047556082</v>
      </c>
      <c r="CX87" s="47">
        <v>6.1357860135874525</v>
      </c>
      <c r="CY87" s="47">
        <v>7.1357860135874525</v>
      </c>
      <c r="DB87" s="16">
        <v>-108.07405581093646</v>
      </c>
      <c r="DC87" s="52">
        <v>3.9515194080781155</v>
      </c>
      <c r="DD87" s="47">
        <v>2.3206045446034587</v>
      </c>
      <c r="DE87" s="47">
        <v>3.3206045446034587</v>
      </c>
      <c r="DF87" s="47">
        <v>3.8597251572255882</v>
      </c>
      <c r="DI87" s="16">
        <v>-61.288844122281645</v>
      </c>
      <c r="DJ87" s="47">
        <v>27.333333333333332</v>
      </c>
      <c r="DK87" s="16">
        <v>25.561666666666667</v>
      </c>
      <c r="DL87" s="47">
        <v>0.51674701452563254</v>
      </c>
      <c r="DM87" s="16">
        <v>0.48325298547436751</v>
      </c>
      <c r="DN87" s="47">
        <v>-31.670827223915904</v>
      </c>
      <c r="DO87" s="16">
        <v>-29.618016898365745</v>
      </c>
      <c r="DP87" s="47">
        <v>0.95012481671747717</v>
      </c>
      <c r="DQ87" s="16">
        <v>3.6266959467386624</v>
      </c>
      <c r="DR87" s="47">
        <v>-0.13695549724407449</v>
      </c>
      <c r="DS87" s="16">
        <v>-0.13695549724407435</v>
      </c>
      <c r="DV87" s="16">
        <v>-58.93406647384387</v>
      </c>
      <c r="DW87" s="47">
        <v>1.973238832829594</v>
      </c>
      <c r="DX87" s="47">
        <v>0.5862246109922884</v>
      </c>
      <c r="DY87" s="47">
        <v>0.44926911374821404</v>
      </c>
      <c r="DZ87" s="47">
        <v>1</v>
      </c>
    </row>
    <row r="88" spans="1:130" x14ac:dyDescent="0.35">
      <c r="A88" s="13">
        <v>45505</v>
      </c>
      <c r="B88" s="47">
        <v>-77.932089262463947</v>
      </c>
      <c r="C88" s="47">
        <v>31.963999999999999</v>
      </c>
      <c r="D88" s="16">
        <v>7.1766000000000005</v>
      </c>
      <c r="E88" s="16">
        <v>34.797874999999998</v>
      </c>
      <c r="F88" s="47">
        <v>0.43230537281165182</v>
      </c>
      <c r="G88" s="16">
        <v>9.7061780081344667E-2</v>
      </c>
      <c r="H88" s="16">
        <v>0.47063284710700348</v>
      </c>
      <c r="I88" s="47">
        <v>-33.690460902600407</v>
      </c>
      <c r="J88" s="16">
        <v>-7.5642273092729981</v>
      </c>
      <c r="K88" s="16">
        <v>-36.677401050590539</v>
      </c>
      <c r="L88" s="47">
        <v>1.2858954542977254</v>
      </c>
      <c r="M88" s="16">
        <v>1.1383336808537243</v>
      </c>
      <c r="N88" s="16">
        <v>1.1067133008300096</v>
      </c>
      <c r="O88" s="47">
        <v>5.4012667457152032E-2</v>
      </c>
      <c r="P88" s="16">
        <v>5.4012667457152087E-2</v>
      </c>
      <c r="Q88" s="16">
        <v>5.4012667457151983E-2</v>
      </c>
      <c r="R88" s="47">
        <v>1.2436483639165243</v>
      </c>
      <c r="S88" s="16">
        <v>1.2436483639165248</v>
      </c>
      <c r="T88" s="16">
        <v>1.2436483639165243</v>
      </c>
      <c r="V88" s="16">
        <v>-164.79720696321786</v>
      </c>
      <c r="W88" s="47">
        <v>89.283666666666662</v>
      </c>
      <c r="X88" s="16">
        <v>61.640999999999998</v>
      </c>
      <c r="Y88" s="16">
        <v>43.522500000000001</v>
      </c>
      <c r="Z88" s="47">
        <v>0.45916671452313951</v>
      </c>
      <c r="AA88" s="16">
        <v>0.31700641905299037</v>
      </c>
      <c r="AB88" s="16">
        <v>0.22382686642387006</v>
      </c>
      <c r="AC88" s="47">
        <v>-75.6693920838906</v>
      </c>
      <c r="AD88" s="16">
        <v>-52.241772449344225</v>
      </c>
      <c r="AE88" s="16">
        <v>-36.886042429983036</v>
      </c>
      <c r="AF88" s="47">
        <v>1.0339702858195026</v>
      </c>
      <c r="AG88" s="16">
        <v>0.91531795793857595</v>
      </c>
      <c r="AH88" s="16">
        <v>0.88989245910694903</v>
      </c>
      <c r="AI88" s="47">
        <v>-0.17991785328052659</v>
      </c>
      <c r="AJ88" s="16">
        <v>-0.17991785328052681</v>
      </c>
      <c r="AK88" s="16">
        <v>-0.17991785328052654</v>
      </c>
      <c r="AM88" s="16">
        <v>-280.7171121476236</v>
      </c>
      <c r="AN88" s="47">
        <v>47.907000000000004</v>
      </c>
      <c r="AO88" s="16">
        <v>2.0638333333333336</v>
      </c>
      <c r="AP88" s="16">
        <v>5.9325000000000001</v>
      </c>
      <c r="AQ88" s="16">
        <v>80.81774999999999</v>
      </c>
      <c r="AR88" s="16">
        <v>89.09083333333335</v>
      </c>
      <c r="AS88" s="47">
        <v>0.21215443678607163</v>
      </c>
      <c r="AT88" s="16">
        <v>9.1396121329587361E-3</v>
      </c>
      <c r="AU88" s="16">
        <v>2.6271864158335313E-2</v>
      </c>
      <c r="AV88" s="16">
        <v>0.35789851657518806</v>
      </c>
      <c r="AW88" s="16">
        <v>0.3945355703474463</v>
      </c>
      <c r="AX88" s="47">
        <v>-59.555380823891589</v>
      </c>
      <c r="AY88" s="16">
        <v>-2.5656455241135587</v>
      </c>
      <c r="AZ88" s="16">
        <v>-7.3749618372625463</v>
      </c>
      <c r="BA88" s="16">
        <v>-100.4682380149052</v>
      </c>
      <c r="BB88" s="16">
        <v>-110.75288594745072</v>
      </c>
      <c r="BC88" s="47">
        <v>1.3425973509049391</v>
      </c>
      <c r="BD88" s="16">
        <v>1.516637748244468</v>
      </c>
      <c r="BE88" s="16">
        <v>1.3053029800464684</v>
      </c>
      <c r="BF88" s="16">
        <v>1.4544804634803503</v>
      </c>
      <c r="BG88" s="16">
        <v>1.3674602648105862</v>
      </c>
      <c r="BH88" s="47">
        <v>0.24314569528235097</v>
      </c>
      <c r="BI88" s="16">
        <v>0.2431456952823508</v>
      </c>
      <c r="BJ88" s="16">
        <v>0.2431456952823508</v>
      </c>
      <c r="BK88" s="16">
        <v>0.24314569528235078</v>
      </c>
      <c r="BL88" s="16">
        <v>0.24314569528235103</v>
      </c>
      <c r="BM88" s="47">
        <v>1.4668098000924794</v>
      </c>
      <c r="BN88" s="16">
        <v>1.466809800092479</v>
      </c>
      <c r="BO88" s="16">
        <v>1.466809800092479</v>
      </c>
      <c r="BP88" s="16">
        <v>1.466809800092479</v>
      </c>
      <c r="BQ88" s="16">
        <v>1.4668098000924792</v>
      </c>
      <c r="BT88" s="16">
        <v>-406.00836163365454</v>
      </c>
      <c r="BU88" s="47">
        <v>0.39690000000000003</v>
      </c>
      <c r="BV88" s="16">
        <v>51.625</v>
      </c>
      <c r="BW88" s="16">
        <v>214.82401500000003</v>
      </c>
      <c r="BX88" s="16">
        <v>68.881225000000001</v>
      </c>
      <c r="BY88" s="47">
        <v>1.1822100530806056E-3</v>
      </c>
      <c r="BZ88" s="16">
        <v>0.15377070796242445</v>
      </c>
      <c r="CA88" s="16">
        <v>0.63987682080155917</v>
      </c>
      <c r="CB88" s="16">
        <v>0.2051702611829356</v>
      </c>
      <c r="CC88" s="47">
        <v>0.47998716675809244</v>
      </c>
      <c r="CD88" s="16">
        <v>62.432193207071109</v>
      </c>
      <c r="CE88" s="16">
        <v>259.79533966099262</v>
      </c>
      <c r="CF88" s="16">
        <v>83.300841598832676</v>
      </c>
      <c r="CG88" s="47">
        <v>1.3060875285934488</v>
      </c>
      <c r="CH88" s="16">
        <v>0.71351077950938413</v>
      </c>
      <c r="CI88" s="16">
        <v>2.1405323385281525</v>
      </c>
      <c r="CJ88" s="16">
        <v>0.74979098863698002</v>
      </c>
      <c r="CK88" s="47">
        <v>0.20934030425319325</v>
      </c>
      <c r="CL88" s="16">
        <v>0.17310289214454641</v>
      </c>
      <c r="CM88" s="16">
        <v>0.17310289214454641</v>
      </c>
      <c r="CN88" s="16">
        <v>0.20934030425319358</v>
      </c>
      <c r="CO88" s="47">
        <v>1.1737585484420339</v>
      </c>
      <c r="CP88" s="16">
        <v>1.1737585484420343</v>
      </c>
      <c r="CQ88" s="16">
        <v>1.1737585484420341</v>
      </c>
      <c r="CR88" s="16">
        <v>1.1737585484420343</v>
      </c>
      <c r="CU88" s="16">
        <v>-88.975751639704072</v>
      </c>
      <c r="CV88" s="47">
        <v>11.762916666666667</v>
      </c>
      <c r="CW88" s="47">
        <v>2.6474312414491665</v>
      </c>
      <c r="CX88" s="47">
        <v>6.5640892612833328</v>
      </c>
      <c r="CY88" s="47">
        <v>7.5640892612833328</v>
      </c>
      <c r="DB88" s="16">
        <v>-108.17283891414101</v>
      </c>
      <c r="DC88" s="52">
        <v>3.9551312217236205</v>
      </c>
      <c r="DD88" s="47">
        <v>2.2419108374783776</v>
      </c>
      <c r="DE88" s="47">
        <v>3.2419108374783776</v>
      </c>
      <c r="DF88" s="47">
        <v>3.8251884758843615</v>
      </c>
      <c r="DI88" s="16">
        <v>-62.654666655749281</v>
      </c>
      <c r="DJ88" s="47">
        <v>26</v>
      </c>
      <c r="DK88" s="16">
        <v>25.724999999999998</v>
      </c>
      <c r="DL88" s="47">
        <v>0.50265828902851628</v>
      </c>
      <c r="DM88" s="16">
        <v>0.49734171097148383</v>
      </c>
      <c r="DN88" s="47">
        <v>-31.493887540830965</v>
      </c>
      <c r="DO88" s="16">
        <v>-31.160779114918324</v>
      </c>
      <c r="DP88" s="47">
        <v>0.94481662622492901</v>
      </c>
      <c r="DQ88" s="16">
        <v>3.8156056059083663</v>
      </c>
      <c r="DR88" s="47">
        <v>-0.1744429782988299</v>
      </c>
      <c r="DS88" s="16">
        <v>-0.17444297829882977</v>
      </c>
      <c r="DV88" s="16">
        <v>-61.996262233102044</v>
      </c>
      <c r="DW88" s="47">
        <v>2.0757677086976134</v>
      </c>
      <c r="DX88" s="47">
        <v>0.5175108403513925</v>
      </c>
      <c r="DY88" s="47">
        <v>0.34306786205256273</v>
      </c>
      <c r="DZ88" s="47">
        <v>1</v>
      </c>
    </row>
    <row r="89" spans="1:130" x14ac:dyDescent="0.35">
      <c r="A89" s="13">
        <v>45536</v>
      </c>
      <c r="B89" s="47">
        <v>-75.451714130399623</v>
      </c>
      <c r="C89" s="47">
        <v>32.488</v>
      </c>
      <c r="D89" s="16">
        <v>6.9772500000000006</v>
      </c>
      <c r="E89" s="16">
        <v>34.797874999999998</v>
      </c>
      <c r="F89" s="47">
        <v>0.43747149072975317</v>
      </c>
      <c r="G89" s="16">
        <v>9.3953089100411544E-2</v>
      </c>
      <c r="H89" s="16">
        <v>0.46857542016983528</v>
      </c>
      <c r="I89" s="47">
        <v>-33.007973858741103</v>
      </c>
      <c r="J89" s="16">
        <v>-7.0889216204722167</v>
      </c>
      <c r="K89" s="16">
        <v>-35.354818651186299</v>
      </c>
      <c r="L89" s="47">
        <v>1.2598463304863017</v>
      </c>
      <c r="M89" s="16">
        <v>1.066805360492433</v>
      </c>
      <c r="N89" s="16">
        <v>1.0668053604924328</v>
      </c>
      <c r="O89" s="47">
        <v>1.600510523088846E-2</v>
      </c>
      <c r="P89" s="16">
        <v>1.6005105230888547E-2</v>
      </c>
      <c r="Q89" s="16">
        <v>1.6005105230888335E-2</v>
      </c>
      <c r="R89" s="47">
        <v>1.237062369658261</v>
      </c>
      <c r="S89" s="16">
        <v>1.237062369658261</v>
      </c>
      <c r="T89" s="16">
        <v>1.2370623696582608</v>
      </c>
      <c r="V89" s="16">
        <v>-159.49620401902521</v>
      </c>
      <c r="W89" s="47">
        <v>90.747333333333344</v>
      </c>
      <c r="X89" s="16">
        <v>59.928750000000001</v>
      </c>
      <c r="Y89" s="16">
        <v>43.522500000000001</v>
      </c>
      <c r="Z89" s="47">
        <v>0.46729142806139595</v>
      </c>
      <c r="AA89" s="16">
        <v>0.30859519658356588</v>
      </c>
      <c r="AB89" s="16">
        <v>0.2241133753550382</v>
      </c>
      <c r="AC89" s="47">
        <v>-74.531208946422055</v>
      </c>
      <c r="AD89" s="16">
        <v>-49.219762433583618</v>
      </c>
      <c r="AE89" s="16">
        <v>-35.745232639019548</v>
      </c>
      <c r="AF89" s="47">
        <v>1.0184177947586708</v>
      </c>
      <c r="AG89" s="16">
        <v>0.86236990685210024</v>
      </c>
      <c r="AH89" s="16">
        <v>0.86236990685210024</v>
      </c>
      <c r="AI89" s="47">
        <v>-0.21757495438680585</v>
      </c>
      <c r="AJ89" s="16">
        <v>-0.21757495438680594</v>
      </c>
      <c r="AK89" s="16">
        <v>-0.21757495438680594</v>
      </c>
      <c r="AM89" s="16">
        <v>-272.66899302189319</v>
      </c>
      <c r="AN89" s="47">
        <v>46.576249999999995</v>
      </c>
      <c r="AO89" s="16">
        <v>2.0976666666666666</v>
      </c>
      <c r="AP89" s="16">
        <v>5.9325000000000001</v>
      </c>
      <c r="AQ89" s="16">
        <v>84.962249999999997</v>
      </c>
      <c r="AR89" s="16">
        <v>80.99166666666666</v>
      </c>
      <c r="AS89" s="47">
        <v>0.21117237762607657</v>
      </c>
      <c r="AT89" s="16">
        <v>9.5106252106377537E-3</v>
      </c>
      <c r="AU89" s="16">
        <v>2.6897402222521124E-2</v>
      </c>
      <c r="AV89" s="16">
        <v>0.38521092490187864</v>
      </c>
      <c r="AW89" s="16">
        <v>0.36720867003888574</v>
      </c>
      <c r="AX89" s="47">
        <v>-57.580159561341269</v>
      </c>
      <c r="AY89" s="16">
        <v>-2.5932525991932271</v>
      </c>
      <c r="AZ89" s="16">
        <v>-7.3340875789196662</v>
      </c>
      <c r="BA89" s="16">
        <v>-105.03507499402737</v>
      </c>
      <c r="BB89" s="16">
        <v>-100.12641828841161</v>
      </c>
      <c r="BC89" s="47">
        <v>1.2980685980388791</v>
      </c>
      <c r="BD89" s="16">
        <v>1.5329572014935331</v>
      </c>
      <c r="BE89" s="16">
        <v>1.2980685980388791</v>
      </c>
      <c r="BF89" s="16">
        <v>1.5205946434169726</v>
      </c>
      <c r="BG89" s="16">
        <v>1.2362558076560752</v>
      </c>
      <c r="BH89" s="47">
        <v>0.23625580765607526</v>
      </c>
      <c r="BI89" s="16">
        <v>0.2362558076560751</v>
      </c>
      <c r="BJ89" s="16">
        <v>0.23625580765607526</v>
      </c>
      <c r="BK89" s="16">
        <v>0.23625580765607529</v>
      </c>
      <c r="BL89" s="16">
        <v>0.23625580765607523</v>
      </c>
      <c r="BM89" s="47">
        <v>1.5052341086172698</v>
      </c>
      <c r="BN89" s="16">
        <v>1.5052341086172696</v>
      </c>
      <c r="BO89" s="16">
        <v>1.5052341086172698</v>
      </c>
      <c r="BP89" s="16">
        <v>1.5052341086172698</v>
      </c>
      <c r="BQ89" s="16">
        <v>1.5052341086172698</v>
      </c>
      <c r="BT89" s="16">
        <v>-397.64134816671259</v>
      </c>
      <c r="BU89" s="47">
        <v>0.38587500000000002</v>
      </c>
      <c r="BV89" s="16">
        <v>49.875</v>
      </c>
      <c r="BW89" s="16">
        <v>207.54184500000005</v>
      </c>
      <c r="BX89" s="16">
        <v>69.992212499999994</v>
      </c>
      <c r="BY89" s="47">
        <v>1.1771841530832695E-3</v>
      </c>
      <c r="BZ89" s="16">
        <v>0.15215305379987837</v>
      </c>
      <c r="CA89" s="16">
        <v>0.63314537359420597</v>
      </c>
      <c r="CB89" s="16">
        <v>0.21352438845283245</v>
      </c>
      <c r="CC89" s="47">
        <v>0.46809709367252106</v>
      </c>
      <c r="CD89" s="16">
        <v>60.502345440665984</v>
      </c>
      <c r="CE89" s="16">
        <v>251.76477994151696</v>
      </c>
      <c r="CF89" s="16">
        <v>84.906125690857138</v>
      </c>
      <c r="CG89" s="47">
        <v>1.2737335882245471</v>
      </c>
      <c r="CH89" s="16">
        <v>0.69145537646475408</v>
      </c>
      <c r="CI89" s="16">
        <v>2.0743661293942623</v>
      </c>
      <c r="CJ89" s="16">
        <v>0.76424015293472825</v>
      </c>
      <c r="CK89" s="47">
        <v>0.21307960783290192</v>
      </c>
      <c r="CL89" s="16">
        <v>0.17565179272410378</v>
      </c>
      <c r="CM89" s="16">
        <v>0.17565179272410378</v>
      </c>
      <c r="CN89" s="16">
        <v>0.21307960783290197</v>
      </c>
      <c r="CO89" s="47">
        <v>1.2185328210675848</v>
      </c>
      <c r="CP89" s="16">
        <v>1.2185328210675848</v>
      </c>
      <c r="CQ89" s="16">
        <v>1.2185328210675848</v>
      </c>
      <c r="CR89" s="16">
        <v>1.2185328210675848</v>
      </c>
      <c r="CU89" s="16">
        <v>-87.610499826303837</v>
      </c>
      <c r="CV89" s="47">
        <v>11.426833333333335</v>
      </c>
      <c r="CW89" s="47">
        <v>2.6068088220075527</v>
      </c>
      <c r="CX89" s="47">
        <v>6.6670847706104492</v>
      </c>
      <c r="CY89" s="47">
        <v>7.6670847706104492</v>
      </c>
      <c r="DB89" s="16">
        <v>-108.15882435445562</v>
      </c>
      <c r="DC89" s="52">
        <v>3.9546188063786332</v>
      </c>
      <c r="DD89" s="47">
        <v>2.1892087148214783</v>
      </c>
      <c r="DE89" s="47">
        <v>3.1892087148214783</v>
      </c>
      <c r="DF89" s="47">
        <v>3.8831006554787653</v>
      </c>
      <c r="DI89" s="16">
        <v>-62.893057923278114</v>
      </c>
      <c r="DJ89" s="47">
        <v>25.333333333333332</v>
      </c>
      <c r="DK89" s="16">
        <v>26.051666666666666</v>
      </c>
      <c r="DL89" s="47">
        <v>0.49301028185916773</v>
      </c>
      <c r="DM89" s="16">
        <v>0.50698971814083227</v>
      </c>
      <c r="DN89" s="47">
        <v>-31.006924213740305</v>
      </c>
      <c r="DO89" s="16">
        <v>-31.886133709537809</v>
      </c>
      <c r="DP89" s="47">
        <v>0.93020772641220917</v>
      </c>
      <c r="DQ89" s="16">
        <v>3.9044245358617724</v>
      </c>
      <c r="DR89" s="47">
        <v>-0.18297819033249341</v>
      </c>
      <c r="DS89" s="16">
        <v>-0.18297819033249338</v>
      </c>
      <c r="DV89" s="16">
        <v>-61.729164533734242</v>
      </c>
      <c r="DW89" s="47">
        <v>2.066824705370566</v>
      </c>
      <c r="DX89" s="47">
        <v>0.54343036045142357</v>
      </c>
      <c r="DY89" s="47">
        <v>0.36045217011893016</v>
      </c>
      <c r="DZ89" s="47">
        <v>1</v>
      </c>
    </row>
    <row r="90" spans="1:130" x14ac:dyDescent="0.35">
      <c r="A90" s="13">
        <v>45566</v>
      </c>
      <c r="B90" s="47">
        <v>-76.210638762126479</v>
      </c>
      <c r="C90" s="47">
        <v>32.225999999999999</v>
      </c>
      <c r="D90" s="16">
        <v>7.3759500000000005</v>
      </c>
      <c r="E90" s="16">
        <v>34.135058333333333</v>
      </c>
      <c r="F90" s="47">
        <v>0.43703969998782832</v>
      </c>
      <c r="G90" s="16">
        <v>0.10003050254841503</v>
      </c>
      <c r="H90" s="16">
        <v>0.46292979746375662</v>
      </c>
      <c r="I90" s="47">
        <v>-33.307074700480513</v>
      </c>
      <c r="J90" s="16">
        <v>-7.6233884949112296</v>
      </c>
      <c r="K90" s="16">
        <v>-35.280175566734734</v>
      </c>
      <c r="L90" s="47">
        <v>1.2712623931481113</v>
      </c>
      <c r="M90" s="16">
        <v>1.1472367938165884</v>
      </c>
      <c r="N90" s="16">
        <v>1.0645530609289064</v>
      </c>
      <c r="O90" s="47">
        <v>3.3546661096025457E-2</v>
      </c>
      <c r="P90" s="16">
        <v>3.3546661096025478E-2</v>
      </c>
      <c r="Q90" s="16">
        <v>3.3546661096025651E-2</v>
      </c>
      <c r="R90" s="47">
        <v>1.2858958932136504</v>
      </c>
      <c r="S90" s="16">
        <v>1.2858958932136508</v>
      </c>
      <c r="T90" s="16">
        <v>1.2858958932136508</v>
      </c>
      <c r="V90" s="16">
        <v>-157.58622834391917</v>
      </c>
      <c r="W90" s="47">
        <v>90.015500000000017</v>
      </c>
      <c r="X90" s="16">
        <v>63.353250000000003</v>
      </c>
      <c r="Y90" s="16">
        <v>42.6935</v>
      </c>
      <c r="Z90" s="47">
        <v>0.45911693862536007</v>
      </c>
      <c r="AA90" s="16">
        <v>0.32312824115810151</v>
      </c>
      <c r="AB90" s="16">
        <v>0.21775482021653833</v>
      </c>
      <c r="AC90" s="47">
        <v>-72.350506726777112</v>
      </c>
      <c r="AD90" s="16">
        <v>-50.920560795509566</v>
      </c>
      <c r="AE90" s="16">
        <v>-34.315160821632475</v>
      </c>
      <c r="AF90" s="47">
        <v>0.98861999626659669</v>
      </c>
      <c r="AG90" s="16">
        <v>0.89216926492351412</v>
      </c>
      <c r="AH90" s="16">
        <v>0.82786877736145903</v>
      </c>
      <c r="AI90" s="47">
        <v>-0.2441585287015694</v>
      </c>
      <c r="AJ90" s="16">
        <v>-0.24415852870156951</v>
      </c>
      <c r="AK90" s="16">
        <v>-0.24415852870156945</v>
      </c>
      <c r="AM90" s="16">
        <v>-272.7903748358662</v>
      </c>
      <c r="AN90" s="47">
        <v>49.237749999999998</v>
      </c>
      <c r="AO90" s="16">
        <v>2.0807500000000001</v>
      </c>
      <c r="AP90" s="16">
        <v>5.8195000000000006</v>
      </c>
      <c r="AQ90" s="16">
        <v>84.271499999999989</v>
      </c>
      <c r="AR90" s="16">
        <v>79.371833333333328</v>
      </c>
      <c r="AS90" s="47">
        <v>0.22301591016148711</v>
      </c>
      <c r="AT90" s="16">
        <v>9.4244833500416719E-3</v>
      </c>
      <c r="AU90" s="16">
        <v>2.6358659548512561E-2</v>
      </c>
      <c r="AV90" s="16">
        <v>0.38169667121616563</v>
      </c>
      <c r="AW90" s="16">
        <v>0.35950427572379312</v>
      </c>
      <c r="AX90" s="47">
        <v>-60.836593727313932</v>
      </c>
      <c r="AY90" s="16">
        <v>-2.5709083456922479</v>
      </c>
      <c r="AZ90" s="16">
        <v>-7.1903886184097257</v>
      </c>
      <c r="BA90" s="16">
        <v>-104.1231780146602</v>
      </c>
      <c r="BB90" s="16">
        <v>-98.069306129790121</v>
      </c>
      <c r="BC90" s="47">
        <v>1.3714806025319692</v>
      </c>
      <c r="BD90" s="16">
        <v>1.5197487757786685</v>
      </c>
      <c r="BE90" s="16">
        <v>1.2726351537008365</v>
      </c>
      <c r="BF90" s="16">
        <v>1.5073930946747764</v>
      </c>
      <c r="BG90" s="16">
        <v>1.2108567481813783</v>
      </c>
      <c r="BH90" s="47">
        <v>0.23556811038916137</v>
      </c>
      <c r="BI90" s="16">
        <v>0.23556811038916142</v>
      </c>
      <c r="BJ90" s="16">
        <v>0.23556811038916159</v>
      </c>
      <c r="BK90" s="16">
        <v>0.23556811038916106</v>
      </c>
      <c r="BL90" s="16">
        <v>0.23556811038916159</v>
      </c>
      <c r="BM90" s="47">
        <v>1.5372426023323573</v>
      </c>
      <c r="BN90" s="16">
        <v>1.5372426023323573</v>
      </c>
      <c r="BO90" s="16">
        <v>1.5372426023323578</v>
      </c>
      <c r="BP90" s="16">
        <v>1.5372426023323569</v>
      </c>
      <c r="BQ90" s="16">
        <v>1.5372426023323573</v>
      </c>
      <c r="BT90" s="16">
        <v>-383.80255800253752</v>
      </c>
      <c r="BU90" s="47">
        <v>0.40792500000000004</v>
      </c>
      <c r="BV90" s="16">
        <v>49</v>
      </c>
      <c r="BW90" s="16">
        <v>207.54184500000005</v>
      </c>
      <c r="BX90" s="16">
        <v>65.548262499999993</v>
      </c>
      <c r="BY90" s="47">
        <v>1.2648914377485388E-3</v>
      </c>
      <c r="BZ90" s="16">
        <v>0.15193891144126592</v>
      </c>
      <c r="CA90" s="16">
        <v>0.6435445307716724</v>
      </c>
      <c r="CB90" s="16">
        <v>0.20325166634931327</v>
      </c>
      <c r="CC90" s="47">
        <v>0.48546856940339661</v>
      </c>
      <c r="CD90" s="16">
        <v>58.314542871278874</v>
      </c>
      <c r="CE90" s="16">
        <v>246.99403709871058</v>
      </c>
      <c r="CF90" s="16">
        <v>78.008509463144705</v>
      </c>
      <c r="CG90" s="47">
        <v>1.3210029099412153</v>
      </c>
      <c r="CH90" s="16">
        <v>0.66645191852890151</v>
      </c>
      <c r="CI90" s="16">
        <v>2.0350585369364671</v>
      </c>
      <c r="CJ90" s="16">
        <v>0.70215469987866386</v>
      </c>
      <c r="CK90" s="47">
        <v>0.19009271165875238</v>
      </c>
      <c r="CL90" s="16">
        <v>0.15972933015764892</v>
      </c>
      <c r="CM90" s="16">
        <v>0.15972933015764904</v>
      </c>
      <c r="CN90" s="16">
        <v>0.19009271165875236</v>
      </c>
      <c r="CO90" s="47">
        <v>1.2544360464712845</v>
      </c>
      <c r="CP90" s="16">
        <v>1.2544360464712847</v>
      </c>
      <c r="CQ90" s="16">
        <v>1.2544360464712847</v>
      </c>
      <c r="CR90" s="16">
        <v>1.2544360464712843</v>
      </c>
      <c r="CU90" s="16">
        <v>-90.294853128397079</v>
      </c>
      <c r="CV90" s="47">
        <v>11.426833333333335</v>
      </c>
      <c r="CW90" s="47">
        <v>2.6866804798927966</v>
      </c>
      <c r="CX90" s="47">
        <v>6.9020014114494019</v>
      </c>
      <c r="CY90" s="47">
        <v>7.9020014114494019</v>
      </c>
      <c r="DB90" s="16">
        <v>-108.19238313249798</v>
      </c>
      <c r="DC90" s="52">
        <v>3.95584581837287</v>
      </c>
      <c r="DD90" s="47">
        <v>2.2161348116852602</v>
      </c>
      <c r="DE90" s="47">
        <v>3.2161348116852602</v>
      </c>
      <c r="DF90" s="47">
        <v>4.0013815554122321</v>
      </c>
      <c r="DI90" s="16">
        <v>-62.137729783004332</v>
      </c>
      <c r="DJ90" s="47">
        <v>23.333333333333332</v>
      </c>
      <c r="DK90" s="16">
        <v>25.39833333333333</v>
      </c>
      <c r="DL90" s="47">
        <v>0.47881254488867608</v>
      </c>
      <c r="DM90" s="16">
        <v>0.52118745511132392</v>
      </c>
      <c r="DN90" s="47">
        <v>-29.752324531005186</v>
      </c>
      <c r="DO90" s="16">
        <v>-32.385405251999146</v>
      </c>
      <c r="DP90" s="47">
        <v>0.89256973593015565</v>
      </c>
      <c r="DQ90" s="16">
        <v>3.9655598267754053</v>
      </c>
      <c r="DR90" s="47">
        <v>-0.21574755246376004</v>
      </c>
      <c r="DS90" s="16">
        <v>-0.2157475524637599</v>
      </c>
      <c r="DV90" s="16">
        <v>-62.56776589823729</v>
      </c>
      <c r="DW90" s="47">
        <v>2.0949028760570521</v>
      </c>
      <c r="DX90" s="47">
        <v>0.48455569732832948</v>
      </c>
      <c r="DY90" s="47">
        <v>0.26880814486456961</v>
      </c>
      <c r="DZ90" s="47">
        <v>1</v>
      </c>
    </row>
    <row r="91" spans="1:130" x14ac:dyDescent="0.35">
      <c r="A91" s="13">
        <v>45597</v>
      </c>
      <c r="B91" s="47">
        <v>-77.468414024836278</v>
      </c>
      <c r="C91" s="47">
        <v>31.963999999999999</v>
      </c>
      <c r="D91" s="16">
        <v>6.3127499999999985</v>
      </c>
      <c r="E91" s="16">
        <v>33.140833333333333</v>
      </c>
      <c r="F91" s="47">
        <v>0.44756485039281868</v>
      </c>
      <c r="G91" s="16">
        <v>8.8392097651021947E-2</v>
      </c>
      <c r="H91" s="16">
        <v>0.46404305195615919</v>
      </c>
      <c r="I91" s="47">
        <v>-34.672139133194783</v>
      </c>
      <c r="J91" s="16">
        <v>-6.8475956173531261</v>
      </c>
      <c r="K91" s="16">
        <v>-35.948679274288352</v>
      </c>
      <c r="L91" s="47">
        <v>1.3233640890532361</v>
      </c>
      <c r="M91" s="16">
        <v>1.0304884300004704</v>
      </c>
      <c r="N91" s="16">
        <v>1.0847246631583904</v>
      </c>
      <c r="O91" s="47">
        <v>8.4724663158390279E-2</v>
      </c>
      <c r="P91" s="16">
        <v>8.472466315838996E-2</v>
      </c>
      <c r="Q91" s="16">
        <v>8.4724663158390445E-2</v>
      </c>
      <c r="R91" s="47">
        <v>1.2892864819449388</v>
      </c>
      <c r="S91" s="16">
        <v>1.2892864819449381</v>
      </c>
      <c r="T91" s="16">
        <v>1.2892864819449386</v>
      </c>
      <c r="V91" s="16">
        <v>-155.60944948254425</v>
      </c>
      <c r="W91" s="47">
        <v>89.283666666666662</v>
      </c>
      <c r="X91" s="16">
        <v>54.221249999999998</v>
      </c>
      <c r="Y91" s="16">
        <v>41.449999999999996</v>
      </c>
      <c r="Z91" s="47">
        <v>0.48273205317151618</v>
      </c>
      <c r="AA91" s="16">
        <v>0.29315927890535493</v>
      </c>
      <c r="AB91" s="16">
        <v>0.22410866792312903</v>
      </c>
      <c r="AC91" s="47">
        <v>-75.117669041597907</v>
      </c>
      <c r="AD91" s="16">
        <v>-45.618354001161926</v>
      </c>
      <c r="AE91" s="16">
        <v>-34.873426439784431</v>
      </c>
      <c r="AF91" s="47">
        <v>1.0264313692771292</v>
      </c>
      <c r="AG91" s="16">
        <v>0.79927032853546953</v>
      </c>
      <c r="AH91" s="16">
        <v>0.84133718793207324</v>
      </c>
      <c r="AI91" s="47">
        <v>-0.18858409487152825</v>
      </c>
      <c r="AJ91" s="16">
        <v>-0.18858409487152811</v>
      </c>
      <c r="AK91" s="16">
        <v>-0.18858409487152811</v>
      </c>
      <c r="AM91" s="16">
        <v>-275.13712826089818</v>
      </c>
      <c r="AN91" s="47">
        <v>42.14041666666666</v>
      </c>
      <c r="AO91" s="16">
        <v>2.0638333333333336</v>
      </c>
      <c r="AP91" s="16">
        <v>5.6499999999999995</v>
      </c>
      <c r="AQ91" s="16">
        <v>81.508499999999998</v>
      </c>
      <c r="AR91" s="16">
        <v>75.322250000000011</v>
      </c>
      <c r="AS91" s="47">
        <v>0.2038871551717186</v>
      </c>
      <c r="AT91" s="16">
        <v>9.985404520566725E-3</v>
      </c>
      <c r="AU91" s="16">
        <v>2.7336284684423152E-2</v>
      </c>
      <c r="AV91" s="16">
        <v>0.39436098410624865</v>
      </c>
      <c r="AW91" s="16">
        <v>0.36443017151704288</v>
      </c>
      <c r="AX91" s="47">
        <v>-56.096926363230793</v>
      </c>
      <c r="AY91" s="16">
        <v>-2.7473555243121197</v>
      </c>
      <c r="AZ91" s="16">
        <v>-7.5212268653945591</v>
      </c>
      <c r="BA91" s="16">
        <v>-108.50334866513496</v>
      </c>
      <c r="BB91" s="16">
        <v>-100.26827084282574</v>
      </c>
      <c r="BC91" s="47">
        <v>1.2646310658628022</v>
      </c>
      <c r="BD91" s="16">
        <v>1.6240525266869672</v>
      </c>
      <c r="BE91" s="16">
        <v>1.3311905956450549</v>
      </c>
      <c r="BF91" s="16">
        <v>1.5708049028611648</v>
      </c>
      <c r="BG91" s="16">
        <v>1.2380072539499012</v>
      </c>
      <c r="BH91" s="47">
        <v>0.33119059564505499</v>
      </c>
      <c r="BI91" s="16">
        <v>0.3311905956450551</v>
      </c>
      <c r="BJ91" s="16">
        <v>0.33119059564505493</v>
      </c>
      <c r="BK91" s="16">
        <v>0.33119059564505499</v>
      </c>
      <c r="BL91" s="16">
        <v>0.33119059564505499</v>
      </c>
      <c r="BM91" s="47">
        <v>1.5822319692262679</v>
      </c>
      <c r="BN91" s="16">
        <v>1.5822319692262683</v>
      </c>
      <c r="BO91" s="16">
        <v>1.5822319692262679</v>
      </c>
      <c r="BP91" s="16">
        <v>1.5822319692262683</v>
      </c>
      <c r="BQ91" s="16">
        <v>1.5822319692262683</v>
      </c>
      <c r="BT91" s="16">
        <v>-379.0491036353277</v>
      </c>
      <c r="BU91" s="47">
        <v>0.34912499999999996</v>
      </c>
      <c r="BV91" s="16">
        <v>48.125</v>
      </c>
      <c r="BW91" s="16">
        <v>209.96923500000003</v>
      </c>
      <c r="BX91" s="16">
        <v>66.65925</v>
      </c>
      <c r="BY91" s="47">
        <v>1.0738917168336482E-3</v>
      </c>
      <c r="BZ91" s="16">
        <v>0.14803018653095401</v>
      </c>
      <c r="CA91" s="16">
        <v>0.64585527320128255</v>
      </c>
      <c r="CB91" s="16">
        <v>0.20504064855092979</v>
      </c>
      <c r="CC91" s="47">
        <v>0.40705769266719749</v>
      </c>
      <c r="CD91" s="16">
        <v>56.110709515528477</v>
      </c>
      <c r="CE91" s="16">
        <v>244.81086238509585</v>
      </c>
      <c r="CF91" s="16">
        <v>77.720474042036187</v>
      </c>
      <c r="CG91" s="47">
        <v>1.107639980046796</v>
      </c>
      <c r="CH91" s="16">
        <v>0.64126525160603975</v>
      </c>
      <c r="CI91" s="16">
        <v>2.0170707005062702</v>
      </c>
      <c r="CJ91" s="16">
        <v>0.69956209266113423</v>
      </c>
      <c r="CK91" s="47">
        <v>0.16593682110189056</v>
      </c>
      <c r="CL91" s="16">
        <v>0.14232059413396747</v>
      </c>
      <c r="CM91" s="16">
        <v>0.14232059413396744</v>
      </c>
      <c r="CN91" s="16">
        <v>0.16593682110189042</v>
      </c>
      <c r="CO91" s="47">
        <v>1.1923421114874861</v>
      </c>
      <c r="CP91" s="16">
        <v>1.1923421114874859</v>
      </c>
      <c r="CQ91" s="16">
        <v>1.1923421114874859</v>
      </c>
      <c r="CR91" s="16">
        <v>1.1923421114874861</v>
      </c>
      <c r="CU91" s="16">
        <v>-92.675754416038586</v>
      </c>
      <c r="CV91" s="47">
        <v>11.426833333333335</v>
      </c>
      <c r="CW91" s="47">
        <v>2.7575230671769475</v>
      </c>
      <c r="CX91" s="47">
        <v>7.1103619622851397</v>
      </c>
      <c r="CY91" s="47">
        <v>8.1103619622851397</v>
      </c>
      <c r="DB91" s="16">
        <v>-108.22248621409663</v>
      </c>
      <c r="DC91" s="52">
        <v>3.9569464794916507</v>
      </c>
      <c r="DD91" s="47">
        <v>2.2433987536816806</v>
      </c>
      <c r="DE91" s="47">
        <v>3.2433987536816806</v>
      </c>
      <c r="DF91" s="47">
        <v>3.8550521719521837</v>
      </c>
      <c r="DI91" s="16">
        <v>-60.154126016351483</v>
      </c>
      <c r="DJ91" s="47">
        <v>22.666666666666668</v>
      </c>
      <c r="DK91" s="16">
        <v>24.5</v>
      </c>
      <c r="DL91" s="47">
        <v>0.48056537102473496</v>
      </c>
      <c r="DM91" s="16">
        <v>0.51943462897526493</v>
      </c>
      <c r="DN91" s="47">
        <v>-28.907989887716614</v>
      </c>
      <c r="DO91" s="16">
        <v>-31.246136128634866</v>
      </c>
      <c r="DP91" s="47">
        <v>0.86723969663149836</v>
      </c>
      <c r="DQ91" s="16">
        <v>3.8260574851389633</v>
      </c>
      <c r="DR91" s="47">
        <v>-0.21590305120806635</v>
      </c>
      <c r="DS91" s="16">
        <v>-0.21590305120806638</v>
      </c>
      <c r="DV91" s="16">
        <v>-63.077406950718874</v>
      </c>
      <c r="DW91" s="47">
        <v>2.1119667505821051</v>
      </c>
      <c r="DX91" s="47">
        <v>0.42047690815829986</v>
      </c>
      <c r="DY91" s="47">
        <v>0.20457385695023347</v>
      </c>
      <c r="DZ91" s="47">
        <v>1</v>
      </c>
    </row>
    <row r="92" spans="1:130" x14ac:dyDescent="0.35">
      <c r="A92" s="13">
        <v>45627</v>
      </c>
      <c r="B92" s="47">
        <v>-81.825253303482455</v>
      </c>
      <c r="C92" s="47">
        <v>31.439999999999998</v>
      </c>
      <c r="D92" s="16">
        <v>5.9140499999999996</v>
      </c>
      <c r="E92" s="16">
        <v>32.478016666666669</v>
      </c>
      <c r="F92" s="47">
        <v>0.45022296347141377</v>
      </c>
      <c r="G92" s="16">
        <v>8.4689602961772095E-2</v>
      </c>
      <c r="H92" s="16">
        <v>0.46508743356681415</v>
      </c>
      <c r="I92" s="47">
        <v>-36.839608029092958</v>
      </c>
      <c r="J92" s="16">
        <v>-6.9297482145183595</v>
      </c>
      <c r="K92" s="16">
        <v>-38.055897059871135</v>
      </c>
      <c r="L92" s="47">
        <v>1.406091909507365</v>
      </c>
      <c r="M92" s="16">
        <v>1.0428514995512956</v>
      </c>
      <c r="N92" s="16">
        <v>1.1483083927643483</v>
      </c>
      <c r="O92" s="47">
        <v>0.17174325792280418</v>
      </c>
      <c r="P92" s="16">
        <v>0.17174325792280407</v>
      </c>
      <c r="Q92" s="16">
        <v>0.17174325792280437</v>
      </c>
      <c r="R92" s="47">
        <v>1.3720273868159718</v>
      </c>
      <c r="S92" s="16">
        <v>1.3720273868159718</v>
      </c>
      <c r="T92" s="16">
        <v>1.3720273868159722</v>
      </c>
      <c r="V92" s="16">
        <v>-153.07320185141674</v>
      </c>
      <c r="W92" s="47">
        <v>87.82</v>
      </c>
      <c r="X92" s="16">
        <v>50.796750000000003</v>
      </c>
      <c r="Y92" s="16">
        <v>40.620999999999995</v>
      </c>
      <c r="Z92" s="47">
        <v>0.48996374926598885</v>
      </c>
      <c r="AA92" s="16">
        <v>0.2834043051756675</v>
      </c>
      <c r="AB92" s="16">
        <v>0.22663194555834357</v>
      </c>
      <c r="AC92" s="47">
        <v>-75.000319891269655</v>
      </c>
      <c r="AD92" s="16">
        <v>-43.381604411715465</v>
      </c>
      <c r="AE92" s="16">
        <v>-34.691277548431614</v>
      </c>
      <c r="AF92" s="47">
        <v>1.0248278737135457</v>
      </c>
      <c r="AG92" s="16">
        <v>0.76008067300421311</v>
      </c>
      <c r="AH92" s="16">
        <v>0.83694276353272901</v>
      </c>
      <c r="AI92" s="47">
        <v>-0.17092833906995922</v>
      </c>
      <c r="AJ92" s="16">
        <v>-0.17092833906995916</v>
      </c>
      <c r="AK92" s="16">
        <v>-0.17092833906995919</v>
      </c>
      <c r="AM92" s="16">
        <v>-291.97339766406236</v>
      </c>
      <c r="AN92" s="47">
        <v>39.478916666666663</v>
      </c>
      <c r="AO92" s="16">
        <v>2.0299999999999998</v>
      </c>
      <c r="AP92" s="16">
        <v>5.5369999999999999</v>
      </c>
      <c r="AQ92" s="16">
        <v>80.126999999999995</v>
      </c>
      <c r="AR92" s="16">
        <v>73.702416666666664</v>
      </c>
      <c r="AS92" s="47">
        <v>0.19653441769853938</v>
      </c>
      <c r="AT92" s="16">
        <v>1.0105770411499007E-2</v>
      </c>
      <c r="AU92" s="16">
        <v>2.7564359984467979E-2</v>
      </c>
      <c r="AV92" s="16">
        <v>0.39888919495673936</v>
      </c>
      <c r="AW92" s="16">
        <v>0.36690625694875428</v>
      </c>
      <c r="AX92" s="47">
        <v>-57.382821693370573</v>
      </c>
      <c r="AY92" s="16">
        <v>-2.9506161230583148</v>
      </c>
      <c r="AZ92" s="16">
        <v>-8.0480598391004374</v>
      </c>
      <c r="BA92" s="16">
        <v>-116.46503354300175</v>
      </c>
      <c r="BB92" s="16">
        <v>-107.12686646553128</v>
      </c>
      <c r="BC92" s="47">
        <v>1.2936198766117732</v>
      </c>
      <c r="BD92" s="16">
        <v>1.7442065752068854</v>
      </c>
      <c r="BE92" s="16">
        <v>1.4244353697522898</v>
      </c>
      <c r="BF92" s="16">
        <v>1.6860663560333227</v>
      </c>
      <c r="BG92" s="16">
        <v>1.3226899861985548</v>
      </c>
      <c r="BH92" s="47">
        <v>0.45350547933907104</v>
      </c>
      <c r="BI92" s="16">
        <v>0.4535054793390712</v>
      </c>
      <c r="BJ92" s="16">
        <v>0.45350547933907126</v>
      </c>
      <c r="BK92" s="16">
        <v>0.45350547933907137</v>
      </c>
      <c r="BL92" s="16">
        <v>0.4535054793390712</v>
      </c>
      <c r="BM92" s="47">
        <v>1.7019507567515832</v>
      </c>
      <c r="BN92" s="16">
        <v>1.7019507567515837</v>
      </c>
      <c r="BO92" s="16">
        <v>1.7019507567515837</v>
      </c>
      <c r="BP92" s="16">
        <v>1.7019507567515837</v>
      </c>
      <c r="BQ92" s="16">
        <v>1.7019507567515837</v>
      </c>
      <c r="CU92" s="16">
        <v>-92.510741455508978</v>
      </c>
      <c r="CV92" s="47">
        <v>12.098999999999998</v>
      </c>
      <c r="CW92" s="47">
        <v>2.7526131848899276</v>
      </c>
      <c r="CX92" s="47">
        <v>6.6461477358053553</v>
      </c>
      <c r="CY92" s="47">
        <v>7.6461477358053553</v>
      </c>
      <c r="DB92" s="16">
        <v>-108.22039986190663</v>
      </c>
      <c r="DC92" s="52">
        <v>3.9568701960477743</v>
      </c>
      <c r="DD92" s="47">
        <v>2.2973918300398122</v>
      </c>
      <c r="DE92" s="47">
        <v>3.2973918300398122</v>
      </c>
      <c r="DF92" s="47">
        <v>3.8610095388113699</v>
      </c>
      <c r="DI92" s="16">
        <v>-60.439966643743269</v>
      </c>
      <c r="DJ92" s="47">
        <v>22</v>
      </c>
      <c r="DK92" s="16">
        <v>24.33666666666667</v>
      </c>
      <c r="DL92" s="47">
        <v>0.47478598661966759</v>
      </c>
      <c r="DM92" s="16">
        <v>0.52521401338033236</v>
      </c>
      <c r="DN92" s="47">
        <v>-28.696049194209447</v>
      </c>
      <c r="DO92" s="16">
        <v>-31.743917449533818</v>
      </c>
      <c r="DP92" s="47">
        <v>0.86088147582628349</v>
      </c>
      <c r="DQ92" s="16">
        <v>3.8870102999429168</v>
      </c>
      <c r="DR92" s="47">
        <v>-0.23334394044601228</v>
      </c>
      <c r="DS92" s="16">
        <v>-0.23334394044601242</v>
      </c>
      <c r="DV92" s="16">
        <v>-62.95558131646159</v>
      </c>
      <c r="DW92" s="47">
        <v>2.1078877672922411</v>
      </c>
      <c r="DX92" s="47">
        <v>0.41373750834374839</v>
      </c>
      <c r="DY92" s="47">
        <v>0.18039356789773597</v>
      </c>
      <c r="DZ92" s="47">
        <v>1</v>
      </c>
    </row>
  </sheetData>
  <mergeCells count="37">
    <mergeCell ref="CV5:CY5"/>
    <mergeCell ref="BU5:CR5"/>
    <mergeCell ref="BU6:BX6"/>
    <mergeCell ref="BY6:CB6"/>
    <mergeCell ref="CC6:CF6"/>
    <mergeCell ref="CG6:CJ6"/>
    <mergeCell ref="CK6:CN6"/>
    <mergeCell ref="CO6:CR6"/>
    <mergeCell ref="AI6:AK6"/>
    <mergeCell ref="AN5:BQ5"/>
    <mergeCell ref="AN6:AR6"/>
    <mergeCell ref="AS6:AW6"/>
    <mergeCell ref="AX6:BB6"/>
    <mergeCell ref="BC6:BG6"/>
    <mergeCell ref="BH6:BL6"/>
    <mergeCell ref="BM6:BQ6"/>
    <mergeCell ref="R6:T6"/>
    <mergeCell ref="W6:Y6"/>
    <mergeCell ref="Z6:AB6"/>
    <mergeCell ref="AC6:AE6"/>
    <mergeCell ref="AF6:AH6"/>
    <mergeCell ref="DW5:DZ5"/>
    <mergeCell ref="E2:R2"/>
    <mergeCell ref="DC5:DF5"/>
    <mergeCell ref="DJ6:DK6"/>
    <mergeCell ref="DL6:DM6"/>
    <mergeCell ref="DN6:DO6"/>
    <mergeCell ref="DP6:DQ6"/>
    <mergeCell ref="DJ5:DS5"/>
    <mergeCell ref="DR6:DS6"/>
    <mergeCell ref="W5:AK5"/>
    <mergeCell ref="C5:T5"/>
    <mergeCell ref="C6:E6"/>
    <mergeCell ref="F6:H6"/>
    <mergeCell ref="I6:K6"/>
    <mergeCell ref="L6:N6"/>
    <mergeCell ref="O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E0F7-F639-4F82-9709-2FB67EA7C578}">
  <dimension ref="A3:B131"/>
  <sheetViews>
    <sheetView zoomScaleNormal="100" workbookViewId="0">
      <pane xSplit="1" topLeftCell="B1" activePane="topRight" state="frozen"/>
      <selection activeCell="A67" sqref="A67"/>
      <selection pane="topRight" activeCell="B4" sqref="B4"/>
    </sheetView>
  </sheetViews>
  <sheetFormatPr defaultRowHeight="14.5" x14ac:dyDescent="0.35"/>
  <cols>
    <col min="2" max="2" width="16" style="19" customWidth="1"/>
  </cols>
  <sheetData>
    <row r="3" spans="1:2" x14ac:dyDescent="0.35">
      <c r="B3" s="19" t="s">
        <v>69</v>
      </c>
    </row>
    <row r="4" spans="1:2" x14ac:dyDescent="0.35">
      <c r="A4" s="14" t="s">
        <v>55</v>
      </c>
      <c r="B4" s="15" t="s">
        <v>191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/>
    </row>
    <row r="8" spans="1:2" x14ac:dyDescent="0.35">
      <c r="A8" s="13">
        <v>43191</v>
      </c>
      <c r="B8" s="16"/>
    </row>
    <row r="9" spans="1:2" x14ac:dyDescent="0.35">
      <c r="A9" s="13">
        <v>43221</v>
      </c>
      <c r="B9" s="16"/>
    </row>
    <row r="10" spans="1:2" x14ac:dyDescent="0.35">
      <c r="A10" s="13">
        <v>43252</v>
      </c>
      <c r="B10" s="16"/>
    </row>
    <row r="11" spans="1:2" x14ac:dyDescent="0.35">
      <c r="A11" s="13">
        <v>43282</v>
      </c>
      <c r="B11" s="16"/>
    </row>
    <row r="12" spans="1:2" x14ac:dyDescent="0.35">
      <c r="A12" s="13">
        <v>43313</v>
      </c>
      <c r="B12" s="16"/>
    </row>
    <row r="13" spans="1:2" x14ac:dyDescent="0.35">
      <c r="A13" s="13">
        <v>43344</v>
      </c>
      <c r="B13" s="16"/>
    </row>
    <row r="14" spans="1:2" x14ac:dyDescent="0.35">
      <c r="A14" s="13">
        <v>43374</v>
      </c>
      <c r="B14" s="16"/>
    </row>
    <row r="15" spans="1:2" x14ac:dyDescent="0.35">
      <c r="A15" s="13">
        <v>43405</v>
      </c>
      <c r="B15" s="16"/>
    </row>
    <row r="16" spans="1:2" x14ac:dyDescent="0.35">
      <c r="A16" s="13">
        <v>43435</v>
      </c>
      <c r="B16" s="16"/>
    </row>
    <row r="17" spans="1:2" x14ac:dyDescent="0.35">
      <c r="A17" s="13">
        <v>43466</v>
      </c>
      <c r="B17" s="16">
        <v>66.461999999999989</v>
      </c>
    </row>
    <row r="18" spans="1:2" x14ac:dyDescent="0.35">
      <c r="A18" s="13">
        <v>43497</v>
      </c>
      <c r="B18" s="16">
        <v>52.9405</v>
      </c>
    </row>
    <row r="19" spans="1:2" x14ac:dyDescent="0.35">
      <c r="A19" s="13">
        <v>43525</v>
      </c>
      <c r="B19" s="16">
        <v>45.764999999999993</v>
      </c>
    </row>
    <row r="20" spans="1:2" x14ac:dyDescent="0.35">
      <c r="A20" s="13">
        <v>43556</v>
      </c>
      <c r="B20" s="16">
        <v>45.740800000000007</v>
      </c>
    </row>
    <row r="21" spans="1:2" x14ac:dyDescent="0.35">
      <c r="A21" s="13">
        <v>43586</v>
      </c>
      <c r="B21" s="16">
        <v>45.012799999999999</v>
      </c>
    </row>
    <row r="22" spans="1:2" x14ac:dyDescent="0.35">
      <c r="A22" s="13">
        <v>43617</v>
      </c>
      <c r="B22" s="16">
        <v>40.939899999999994</v>
      </c>
    </row>
    <row r="23" spans="1:2" x14ac:dyDescent="0.35">
      <c r="A23" s="13">
        <v>43647</v>
      </c>
      <c r="B23" s="16">
        <v>44.374400000000001</v>
      </c>
    </row>
    <row r="24" spans="1:2" x14ac:dyDescent="0.35">
      <c r="A24" s="13">
        <v>43678</v>
      </c>
      <c r="B24" s="16">
        <v>41.525100000000002</v>
      </c>
    </row>
    <row r="25" spans="1:2" x14ac:dyDescent="0.35">
      <c r="A25" s="13">
        <v>43709</v>
      </c>
      <c r="B25" s="16">
        <v>40.238</v>
      </c>
    </row>
    <row r="26" spans="1:2" x14ac:dyDescent="0.35">
      <c r="A26" s="13">
        <v>43739</v>
      </c>
      <c r="B26" s="16">
        <v>42.135600000000004</v>
      </c>
    </row>
    <row r="27" spans="1:2" x14ac:dyDescent="0.35">
      <c r="A27" s="13">
        <v>43770</v>
      </c>
      <c r="B27" s="16">
        <v>46.981000000000002</v>
      </c>
    </row>
    <row r="28" spans="1:2" x14ac:dyDescent="0.35">
      <c r="A28" s="13">
        <v>43800</v>
      </c>
      <c r="B28" s="16">
        <v>41.514000000000003</v>
      </c>
    </row>
    <row r="29" spans="1:2" x14ac:dyDescent="0.35">
      <c r="A29" s="13">
        <v>43831</v>
      </c>
      <c r="B29" s="16">
        <v>41.1477</v>
      </c>
    </row>
    <row r="30" spans="1:2" x14ac:dyDescent="0.35">
      <c r="A30" s="13">
        <v>43862</v>
      </c>
      <c r="B30" s="16">
        <v>32.505000000000003</v>
      </c>
    </row>
    <row r="31" spans="1:2" x14ac:dyDescent="0.35">
      <c r="A31" s="13">
        <v>43891</v>
      </c>
      <c r="B31" s="16">
        <v>27.225000000000001</v>
      </c>
    </row>
    <row r="32" spans="1:2" x14ac:dyDescent="0.35">
      <c r="A32" s="13">
        <v>43922</v>
      </c>
      <c r="B32" s="16">
        <v>20.677299999999999</v>
      </c>
    </row>
    <row r="33" spans="1:2" x14ac:dyDescent="0.35">
      <c r="A33" s="13">
        <v>43952</v>
      </c>
      <c r="B33" s="16">
        <v>19.260300000000004</v>
      </c>
    </row>
    <row r="34" spans="1:2" x14ac:dyDescent="0.35">
      <c r="A34" s="13">
        <v>43983</v>
      </c>
      <c r="B34" s="16">
        <v>29.411200000000004</v>
      </c>
    </row>
    <row r="35" spans="1:2" x14ac:dyDescent="0.35">
      <c r="A35" s="13">
        <v>44013</v>
      </c>
      <c r="B35" s="16">
        <v>33.458999999999996</v>
      </c>
    </row>
    <row r="36" spans="1:2" x14ac:dyDescent="0.35">
      <c r="A36" s="13">
        <v>44044</v>
      </c>
      <c r="B36" s="16">
        <v>40.202599999999997</v>
      </c>
    </row>
    <row r="37" spans="1:2" x14ac:dyDescent="0.35">
      <c r="A37" s="13">
        <v>44075</v>
      </c>
      <c r="B37" s="16">
        <v>50.268000000000001</v>
      </c>
    </row>
    <row r="38" spans="1:2" x14ac:dyDescent="0.35">
      <c r="A38" s="13">
        <v>44105</v>
      </c>
      <c r="B38" s="16">
        <v>43.7898</v>
      </c>
    </row>
    <row r="39" spans="1:2" x14ac:dyDescent="0.35">
      <c r="A39" s="13">
        <v>44136</v>
      </c>
      <c r="B39" s="16">
        <v>48.438999999999993</v>
      </c>
    </row>
    <row r="40" spans="1:2" x14ac:dyDescent="0.35">
      <c r="A40" s="13">
        <v>44166</v>
      </c>
      <c r="B40" s="16">
        <v>58.901600000000002</v>
      </c>
    </row>
    <row r="41" spans="1:2" x14ac:dyDescent="0.35">
      <c r="A41" s="13">
        <v>44197</v>
      </c>
      <c r="B41" s="16">
        <v>64.196399999999997</v>
      </c>
    </row>
    <row r="42" spans="1:2" x14ac:dyDescent="0.35">
      <c r="A42" s="13">
        <v>44228</v>
      </c>
      <c r="B42" s="16">
        <v>59.568299999999994</v>
      </c>
    </row>
    <row r="43" spans="1:2" x14ac:dyDescent="0.35">
      <c r="A43" s="13">
        <v>44256</v>
      </c>
      <c r="B43" s="16">
        <v>58.179099999999998</v>
      </c>
    </row>
    <row r="44" spans="1:2" x14ac:dyDescent="0.35">
      <c r="A44" s="13">
        <v>44287</v>
      </c>
      <c r="B44" s="16">
        <v>63.443999999999996</v>
      </c>
    </row>
    <row r="45" spans="1:2" x14ac:dyDescent="0.35">
      <c r="A45" s="13">
        <v>44317</v>
      </c>
      <c r="B45" s="16">
        <v>67.905199999999994</v>
      </c>
    </row>
    <row r="46" spans="1:2" x14ac:dyDescent="0.35">
      <c r="A46" s="13">
        <v>44348</v>
      </c>
      <c r="B46" s="16">
        <v>91.811999999999998</v>
      </c>
    </row>
    <row r="47" spans="1:2" x14ac:dyDescent="0.35">
      <c r="A47" s="13">
        <v>44378</v>
      </c>
      <c r="B47" s="16">
        <v>97.444399999999987</v>
      </c>
    </row>
    <row r="48" spans="1:2" x14ac:dyDescent="0.35">
      <c r="A48" s="13">
        <v>44409</v>
      </c>
      <c r="B48" s="16">
        <v>102.25879999999999</v>
      </c>
    </row>
    <row r="49" spans="1:2" x14ac:dyDescent="0.35">
      <c r="A49" s="13">
        <v>44440</v>
      </c>
      <c r="B49" s="16">
        <v>160.94019999999998</v>
      </c>
    </row>
    <row r="50" spans="1:2" x14ac:dyDescent="0.35">
      <c r="A50" s="13">
        <v>44470</v>
      </c>
      <c r="B50" s="16">
        <v>190.0196</v>
      </c>
    </row>
    <row r="51" spans="1:2" x14ac:dyDescent="0.35">
      <c r="A51" s="13">
        <v>44501</v>
      </c>
      <c r="B51" s="16">
        <v>212.38200000000001</v>
      </c>
    </row>
    <row r="52" spans="1:2" x14ac:dyDescent="0.35">
      <c r="A52" s="13">
        <v>44531</v>
      </c>
      <c r="B52" s="16">
        <v>268.714</v>
      </c>
    </row>
    <row r="53" spans="1:2" x14ac:dyDescent="0.35">
      <c r="A53" s="13">
        <v>44562</v>
      </c>
      <c r="B53" s="16">
        <v>213.84119999999999</v>
      </c>
    </row>
    <row r="54" spans="1:2" x14ac:dyDescent="0.35">
      <c r="A54" s="13">
        <v>44593</v>
      </c>
      <c r="B54" s="16">
        <v>190.16769999999997</v>
      </c>
    </row>
    <row r="55" spans="1:2" x14ac:dyDescent="0.35">
      <c r="A55" s="13">
        <v>44621</v>
      </c>
      <c r="B55" s="16">
        <v>287.13299999999998</v>
      </c>
    </row>
    <row r="56" spans="1:2" x14ac:dyDescent="0.35">
      <c r="A56" s="13">
        <v>44652</v>
      </c>
      <c r="B56" s="16">
        <v>210.93480000000002</v>
      </c>
    </row>
    <row r="57" spans="1:2" x14ac:dyDescent="0.35">
      <c r="A57" s="13">
        <v>44682</v>
      </c>
      <c r="B57" s="16">
        <v>192.28400000000002</v>
      </c>
    </row>
    <row r="58" spans="1:2" x14ac:dyDescent="0.35">
      <c r="A58" s="13">
        <v>44713</v>
      </c>
      <c r="B58" s="16">
        <v>222.67420000000001</v>
      </c>
    </row>
    <row r="59" spans="1:2" x14ac:dyDescent="0.35">
      <c r="A59" s="13">
        <v>44743</v>
      </c>
      <c r="B59" s="16">
        <v>312.99720000000002</v>
      </c>
    </row>
    <row r="60" spans="1:2" x14ac:dyDescent="0.35">
      <c r="A60" s="13">
        <v>44774</v>
      </c>
      <c r="B60" s="16">
        <v>451.72250000000003</v>
      </c>
    </row>
    <row r="61" spans="1:2" x14ac:dyDescent="0.35">
      <c r="A61" s="13">
        <v>44805</v>
      </c>
      <c r="B61" s="16">
        <v>337.48109999999997</v>
      </c>
    </row>
    <row r="62" spans="1:2" x14ac:dyDescent="0.35">
      <c r="A62" s="13">
        <v>44835</v>
      </c>
      <c r="B62" s="16">
        <v>152.3998</v>
      </c>
    </row>
    <row r="63" spans="1:2" x14ac:dyDescent="0.35">
      <c r="A63" s="13">
        <v>44866</v>
      </c>
      <c r="B63" s="16">
        <v>183.06959999999998</v>
      </c>
    </row>
    <row r="64" spans="1:2" x14ac:dyDescent="0.35">
      <c r="A64" s="13">
        <v>44896</v>
      </c>
      <c r="B64" s="16">
        <v>273.99940000000004</v>
      </c>
    </row>
    <row r="65" spans="1:2" x14ac:dyDescent="0.35">
      <c r="A65" s="13">
        <v>44927</v>
      </c>
      <c r="B65" s="16">
        <v>136.22040000000001</v>
      </c>
    </row>
    <row r="66" spans="1:2" x14ac:dyDescent="0.35">
      <c r="A66" s="13">
        <v>44958</v>
      </c>
      <c r="B66" s="16">
        <v>144.3537</v>
      </c>
    </row>
    <row r="67" spans="1:2" x14ac:dyDescent="0.35">
      <c r="A67" s="13">
        <v>44986</v>
      </c>
      <c r="B67" s="16">
        <v>111.7508</v>
      </c>
    </row>
    <row r="68" spans="1:2" x14ac:dyDescent="0.35">
      <c r="A68" s="13">
        <v>45017</v>
      </c>
      <c r="B68" s="16">
        <v>108.581</v>
      </c>
    </row>
    <row r="69" spans="1:2" x14ac:dyDescent="0.35">
      <c r="A69" s="13">
        <v>45047</v>
      </c>
      <c r="B69" s="16">
        <v>84.889200000000002</v>
      </c>
    </row>
    <row r="70" spans="1:2" x14ac:dyDescent="0.35">
      <c r="A70" s="13">
        <v>45078</v>
      </c>
      <c r="B70" s="16">
        <v>101.24400000000001</v>
      </c>
    </row>
    <row r="71" spans="1:2" x14ac:dyDescent="0.35">
      <c r="A71" s="13">
        <v>45108</v>
      </c>
      <c r="B71" s="16">
        <v>78.142099999999999</v>
      </c>
    </row>
    <row r="72" spans="1:2" x14ac:dyDescent="0.35">
      <c r="A72" s="13">
        <v>45139</v>
      </c>
      <c r="B72" s="16">
        <v>99.647800000000004</v>
      </c>
    </row>
    <row r="73" spans="1:2" x14ac:dyDescent="0.35">
      <c r="A73" s="13">
        <v>45170</v>
      </c>
      <c r="B73" s="16">
        <v>105.60900000000001</v>
      </c>
    </row>
    <row r="74" spans="1:2" x14ac:dyDescent="0.35">
      <c r="A74" s="13">
        <v>45200</v>
      </c>
      <c r="B74" s="16">
        <v>95.601399999999998</v>
      </c>
    </row>
    <row r="75" spans="1:2" x14ac:dyDescent="0.35">
      <c r="A75" s="13">
        <v>45231</v>
      </c>
      <c r="B75" s="16">
        <v>102.0168</v>
      </c>
    </row>
    <row r="76" spans="1:2" x14ac:dyDescent="0.35">
      <c r="A76" s="13">
        <v>45261</v>
      </c>
      <c r="B76" s="16">
        <v>79.613600000000019</v>
      </c>
    </row>
    <row r="77" spans="1:2" x14ac:dyDescent="0.35">
      <c r="A77" s="13">
        <v>45292</v>
      </c>
      <c r="B77" s="16">
        <v>85.488700000000009</v>
      </c>
    </row>
    <row r="78" spans="1:2" x14ac:dyDescent="0.35">
      <c r="A78" s="13">
        <v>45323</v>
      </c>
      <c r="B78" s="16">
        <v>69.022800000000004</v>
      </c>
    </row>
    <row r="79" spans="1:2" x14ac:dyDescent="0.35">
      <c r="A79" s="13">
        <v>45352</v>
      </c>
      <c r="B79" s="16">
        <v>69.08420000000001</v>
      </c>
    </row>
    <row r="80" spans="1:2" x14ac:dyDescent="0.35">
      <c r="A80" s="13">
        <v>45383</v>
      </c>
      <c r="B80" s="16">
        <v>62.509400000000007</v>
      </c>
    </row>
    <row r="81" spans="1:2" x14ac:dyDescent="0.35">
      <c r="A81" s="13">
        <v>45413</v>
      </c>
      <c r="B81" s="16">
        <v>70.956000000000003</v>
      </c>
    </row>
    <row r="82" spans="1:2" x14ac:dyDescent="0.35">
      <c r="A82" s="13">
        <v>45444</v>
      </c>
      <c r="B82" s="16">
        <v>72.824200000000005</v>
      </c>
    </row>
    <row r="83" spans="1:2" x14ac:dyDescent="0.35">
      <c r="A83" s="13">
        <v>45474</v>
      </c>
      <c r="B83" s="16">
        <v>70.243200000000016</v>
      </c>
    </row>
    <row r="84" spans="1:2" x14ac:dyDescent="0.35">
      <c r="A84" s="13">
        <v>45505</v>
      </c>
      <c r="B84" s="16">
        <v>84.81</v>
      </c>
    </row>
    <row r="85" spans="1:2" x14ac:dyDescent="0.35">
      <c r="A85" s="13">
        <v>45536</v>
      </c>
      <c r="B85" s="16">
        <v>86.158200000000008</v>
      </c>
    </row>
    <row r="86" spans="1:2" x14ac:dyDescent="0.35">
      <c r="A86" s="13">
        <v>45566</v>
      </c>
      <c r="B86" s="58">
        <v>86</v>
      </c>
    </row>
    <row r="87" spans="1:2" x14ac:dyDescent="0.35">
      <c r="A87" s="13">
        <v>45597</v>
      </c>
      <c r="B87" s="58">
        <v>86</v>
      </c>
    </row>
    <row r="88" spans="1:2" x14ac:dyDescent="0.35">
      <c r="A88" s="13">
        <v>45627</v>
      </c>
      <c r="B88" s="58">
        <v>86</v>
      </c>
    </row>
    <row r="92" spans="1:2" x14ac:dyDescent="0.35">
      <c r="B92"/>
    </row>
    <row r="93" spans="1:2" x14ac:dyDescent="0.35">
      <c r="B93"/>
    </row>
    <row r="94" spans="1:2" x14ac:dyDescent="0.35">
      <c r="B94"/>
    </row>
    <row r="95" spans="1:2" x14ac:dyDescent="0.35">
      <c r="B95"/>
    </row>
    <row r="96" spans="1:2" x14ac:dyDescent="0.35">
      <c r="B96"/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DBA7-017D-46D1-B58B-ED08BDDDBCD1}">
  <dimension ref="A4:B88"/>
  <sheetViews>
    <sheetView workbookViewId="0">
      <selection activeCell="B4" sqref="B4"/>
    </sheetView>
  </sheetViews>
  <sheetFormatPr defaultRowHeight="14" x14ac:dyDescent="0.3"/>
  <cols>
    <col min="1" max="1" width="8.7265625" style="7"/>
    <col min="2" max="2" width="15.81640625" style="16" customWidth="1"/>
    <col min="3" max="16384" width="8.7265625" style="7"/>
  </cols>
  <sheetData>
    <row r="4" spans="1:2" x14ac:dyDescent="0.3">
      <c r="A4" s="14" t="s">
        <v>55</v>
      </c>
      <c r="B4" s="15" t="s">
        <v>194</v>
      </c>
    </row>
    <row r="5" spans="1:2" x14ac:dyDescent="0.3">
      <c r="A5" s="13">
        <v>43101</v>
      </c>
    </row>
    <row r="6" spans="1:2" x14ac:dyDescent="0.3">
      <c r="A6" s="13">
        <v>43132</v>
      </c>
    </row>
    <row r="7" spans="1:2" x14ac:dyDescent="0.3">
      <c r="A7" s="13">
        <v>43160</v>
      </c>
      <c r="B7" s="16">
        <v>1.2</v>
      </c>
    </row>
    <row r="8" spans="1:2" x14ac:dyDescent="0.3">
      <c r="A8" s="13">
        <v>43191</v>
      </c>
      <c r="B8" s="16">
        <v>1.26</v>
      </c>
    </row>
    <row r="9" spans="1:2" x14ac:dyDescent="0.3">
      <c r="A9" s="13">
        <v>43221</v>
      </c>
      <c r="B9" s="16">
        <v>1.26</v>
      </c>
    </row>
    <row r="10" spans="1:2" x14ac:dyDescent="0.3">
      <c r="A10" s="13">
        <v>43252</v>
      </c>
      <c r="B10" s="16">
        <v>1.27</v>
      </c>
    </row>
    <row r="11" spans="1:2" x14ac:dyDescent="0.3">
      <c r="A11" s="13">
        <v>43282</v>
      </c>
      <c r="B11" s="16">
        <v>1.28</v>
      </c>
    </row>
    <row r="12" spans="1:2" x14ac:dyDescent="0.3">
      <c r="A12" s="13">
        <v>43313</v>
      </c>
      <c r="B12" s="16">
        <v>1.27</v>
      </c>
    </row>
    <row r="13" spans="1:2" x14ac:dyDescent="0.3">
      <c r="A13" s="13">
        <v>43344</v>
      </c>
      <c r="B13" s="16">
        <v>1.29</v>
      </c>
    </row>
    <row r="14" spans="1:2" x14ac:dyDescent="0.3">
      <c r="A14" s="13">
        <v>43374</v>
      </c>
      <c r="B14" s="16">
        <v>1.26</v>
      </c>
    </row>
    <row r="15" spans="1:2" x14ac:dyDescent="0.3">
      <c r="A15" s="13">
        <v>43405</v>
      </c>
      <c r="B15" s="16">
        <v>1.22</v>
      </c>
    </row>
    <row r="16" spans="1:2" x14ac:dyDescent="0.3">
      <c r="A16" s="13">
        <v>43435</v>
      </c>
      <c r="B16" s="16">
        <v>1.21</v>
      </c>
    </row>
    <row r="17" spans="1:2" x14ac:dyDescent="0.3">
      <c r="A17" s="13">
        <v>43466</v>
      </c>
      <c r="B17" s="16">
        <v>1.2</v>
      </c>
    </row>
    <row r="18" spans="1:2" x14ac:dyDescent="0.3">
      <c r="A18" s="13">
        <v>43497</v>
      </c>
      <c r="B18" s="16">
        <v>1.19</v>
      </c>
    </row>
    <row r="19" spans="1:2" x14ac:dyDescent="0.3">
      <c r="A19" s="13">
        <v>43525</v>
      </c>
      <c r="B19" s="16">
        <v>1.19</v>
      </c>
    </row>
    <row r="20" spans="1:2" x14ac:dyDescent="0.3">
      <c r="A20" s="13">
        <v>43556</v>
      </c>
      <c r="B20" s="16">
        <v>1.19</v>
      </c>
    </row>
    <row r="21" spans="1:2" x14ac:dyDescent="0.3">
      <c r="A21" s="13">
        <v>43586</v>
      </c>
      <c r="B21" s="16">
        <v>1.2</v>
      </c>
    </row>
    <row r="22" spans="1:2" x14ac:dyDescent="0.3">
      <c r="A22" s="13">
        <v>43617</v>
      </c>
      <c r="B22" s="16">
        <v>1.2</v>
      </c>
    </row>
    <row r="23" spans="1:2" x14ac:dyDescent="0.3">
      <c r="A23" s="13">
        <v>43647</v>
      </c>
      <c r="B23" s="16">
        <v>1.18</v>
      </c>
    </row>
    <row r="24" spans="1:2" x14ac:dyDescent="0.3">
      <c r="A24" s="13">
        <v>43678</v>
      </c>
      <c r="B24" s="16">
        <v>1.1599999999999999</v>
      </c>
    </row>
    <row r="25" spans="1:2" x14ac:dyDescent="0.3">
      <c r="A25" s="13">
        <v>43709</v>
      </c>
      <c r="B25" s="16">
        <v>1.1299999999999999</v>
      </c>
    </row>
    <row r="26" spans="1:2" x14ac:dyDescent="0.3">
      <c r="A26" s="13">
        <v>43739</v>
      </c>
      <c r="B26" s="16">
        <v>1.1299999999999999</v>
      </c>
    </row>
    <row r="27" spans="1:2" x14ac:dyDescent="0.3">
      <c r="A27" s="13">
        <v>43770</v>
      </c>
      <c r="B27" s="16">
        <v>1.1299999999999999</v>
      </c>
    </row>
    <row r="28" spans="1:2" x14ac:dyDescent="0.3">
      <c r="A28" s="13">
        <v>43800</v>
      </c>
      <c r="B28" s="16">
        <v>1.1100000000000001</v>
      </c>
    </row>
    <row r="29" spans="1:2" x14ac:dyDescent="0.3">
      <c r="A29" s="13">
        <v>43831</v>
      </c>
      <c r="B29" s="16">
        <v>1.0900000000000001</v>
      </c>
    </row>
    <row r="30" spans="1:2" x14ac:dyDescent="0.3">
      <c r="A30" s="13">
        <v>43862</v>
      </c>
      <c r="B30" s="16">
        <v>1.04</v>
      </c>
    </row>
    <row r="31" spans="1:2" x14ac:dyDescent="0.3">
      <c r="A31" s="13">
        <v>43891</v>
      </c>
      <c r="B31" s="16">
        <v>1</v>
      </c>
    </row>
    <row r="32" spans="1:2" x14ac:dyDescent="0.3">
      <c r="A32" s="13">
        <v>43922</v>
      </c>
      <c r="B32" s="16">
        <v>0.94</v>
      </c>
    </row>
    <row r="33" spans="1:2" x14ac:dyDescent="0.3">
      <c r="A33" s="13">
        <v>43952</v>
      </c>
      <c r="B33" s="16">
        <v>0.9</v>
      </c>
    </row>
    <row r="34" spans="1:2" x14ac:dyDescent="0.3">
      <c r="A34" s="13">
        <v>43983</v>
      </c>
      <c r="B34" s="16">
        <v>0.92</v>
      </c>
    </row>
    <row r="35" spans="1:2" x14ac:dyDescent="0.3">
      <c r="A35" s="13">
        <v>44013</v>
      </c>
      <c r="B35" s="16">
        <v>0.93</v>
      </c>
    </row>
    <row r="36" spans="1:2" x14ac:dyDescent="0.3">
      <c r="A36" s="13">
        <v>44044</v>
      </c>
      <c r="B36" s="16">
        <v>0.97</v>
      </c>
    </row>
    <row r="37" spans="1:2" x14ac:dyDescent="0.3">
      <c r="A37" s="13">
        <v>44075</v>
      </c>
      <c r="B37" s="16">
        <v>0.98</v>
      </c>
    </row>
    <row r="38" spans="1:2" x14ac:dyDescent="0.3">
      <c r="A38" s="13">
        <v>44105</v>
      </c>
      <c r="B38" s="16">
        <v>0.98</v>
      </c>
    </row>
    <row r="39" spans="1:2" x14ac:dyDescent="0.3">
      <c r="A39" s="13">
        <v>44136</v>
      </c>
      <c r="B39" s="16">
        <v>1</v>
      </c>
    </row>
    <row r="40" spans="1:2" x14ac:dyDescent="0.3">
      <c r="A40" s="13">
        <v>44166</v>
      </c>
      <c r="B40" s="16">
        <v>1.05</v>
      </c>
    </row>
    <row r="41" spans="1:2" x14ac:dyDescent="0.3">
      <c r="A41" s="13">
        <v>44197</v>
      </c>
      <c r="B41" s="16">
        <v>1.08</v>
      </c>
    </row>
    <row r="42" spans="1:2" x14ac:dyDescent="0.3">
      <c r="A42" s="13">
        <v>44228</v>
      </c>
      <c r="B42" s="16">
        <v>1.1299999999999999</v>
      </c>
    </row>
    <row r="43" spans="1:2" x14ac:dyDescent="0.3">
      <c r="A43" s="13">
        <v>44256</v>
      </c>
      <c r="B43" s="16">
        <v>1.21</v>
      </c>
    </row>
    <row r="44" spans="1:2" x14ac:dyDescent="0.3">
      <c r="A44" s="13">
        <v>44287</v>
      </c>
      <c r="B44" s="16">
        <v>1.28</v>
      </c>
    </row>
    <row r="45" spans="1:2" x14ac:dyDescent="0.3">
      <c r="A45" s="13">
        <v>44317</v>
      </c>
      <c r="B45" s="16">
        <v>1.42</v>
      </c>
    </row>
    <row r="46" spans="1:2" x14ac:dyDescent="0.3">
      <c r="A46" s="13">
        <v>44348</v>
      </c>
      <c r="B46" s="16">
        <v>1.48</v>
      </c>
    </row>
    <row r="47" spans="1:2" x14ac:dyDescent="0.3">
      <c r="A47" s="13">
        <v>44378</v>
      </c>
      <c r="B47" s="16">
        <v>1.47</v>
      </c>
    </row>
    <row r="48" spans="1:2" x14ac:dyDescent="0.3">
      <c r="A48" s="13">
        <v>44409</v>
      </c>
      <c r="B48" s="16">
        <v>1.47</v>
      </c>
    </row>
    <row r="49" spans="1:2" x14ac:dyDescent="0.3">
      <c r="A49" s="13">
        <v>44440</v>
      </c>
      <c r="B49" s="16">
        <v>1.48</v>
      </c>
    </row>
    <row r="50" spans="1:2" x14ac:dyDescent="0.3">
      <c r="A50" s="13">
        <v>44470</v>
      </c>
      <c r="B50" s="16">
        <v>1.47</v>
      </c>
    </row>
    <row r="51" spans="1:2" x14ac:dyDescent="0.3">
      <c r="A51" s="13">
        <v>44501</v>
      </c>
      <c r="B51" s="16">
        <v>1.47</v>
      </c>
    </row>
    <row r="52" spans="1:2" x14ac:dyDescent="0.3">
      <c r="A52" s="13">
        <v>44531</v>
      </c>
      <c r="B52" s="16">
        <v>1.48</v>
      </c>
    </row>
    <row r="53" spans="1:2" x14ac:dyDescent="0.3">
      <c r="A53" s="13">
        <v>44562</v>
      </c>
      <c r="B53" s="16">
        <v>1.5</v>
      </c>
    </row>
    <row r="54" spans="1:2" x14ac:dyDescent="0.3">
      <c r="A54" s="13">
        <v>44593</v>
      </c>
      <c r="B54" s="16">
        <v>1.54</v>
      </c>
    </row>
    <row r="55" spans="1:2" x14ac:dyDescent="0.3">
      <c r="A55" s="13">
        <v>44621</v>
      </c>
      <c r="B55" s="16">
        <v>1.55</v>
      </c>
    </row>
    <row r="56" spans="1:2" x14ac:dyDescent="0.3">
      <c r="A56" s="13">
        <v>44652</v>
      </c>
      <c r="B56" s="16">
        <v>1.63</v>
      </c>
    </row>
    <row r="57" spans="1:2" x14ac:dyDescent="0.3">
      <c r="A57" s="13">
        <v>44682</v>
      </c>
      <c r="B57" s="16">
        <v>1.6</v>
      </c>
    </row>
    <row r="58" spans="1:2" x14ac:dyDescent="0.3">
      <c r="A58" s="13">
        <v>44713</v>
      </c>
      <c r="B58" s="16">
        <v>1.6</v>
      </c>
    </row>
    <row r="59" spans="1:2" x14ac:dyDescent="0.3">
      <c r="A59" s="13">
        <v>44743</v>
      </c>
      <c r="B59" s="16">
        <v>1.51</v>
      </c>
    </row>
    <row r="60" spans="1:2" x14ac:dyDescent="0.3">
      <c r="A60" s="13">
        <v>44774</v>
      </c>
      <c r="B60" s="16">
        <v>1.43</v>
      </c>
    </row>
    <row r="61" spans="1:2" x14ac:dyDescent="0.3">
      <c r="A61" s="13">
        <v>44805</v>
      </c>
      <c r="B61" s="16">
        <v>1.34</v>
      </c>
    </row>
    <row r="62" spans="1:2" x14ac:dyDescent="0.3">
      <c r="A62" s="13">
        <v>44835</v>
      </c>
      <c r="B62" s="16">
        <v>1.3</v>
      </c>
    </row>
    <row r="63" spans="1:2" x14ac:dyDescent="0.3">
      <c r="A63" s="13">
        <v>44866</v>
      </c>
      <c r="B63" s="16">
        <v>1.32</v>
      </c>
    </row>
    <row r="64" spans="1:2" x14ac:dyDescent="0.3">
      <c r="A64" s="13">
        <v>44896</v>
      </c>
      <c r="B64" s="16">
        <v>1.35</v>
      </c>
    </row>
    <row r="65" spans="1:2" x14ac:dyDescent="0.3">
      <c r="A65" s="13">
        <v>44927</v>
      </c>
      <c r="B65" s="16">
        <v>1.36</v>
      </c>
    </row>
    <row r="66" spans="1:2" x14ac:dyDescent="0.3">
      <c r="A66" s="13">
        <v>44958</v>
      </c>
      <c r="B66" s="16">
        <v>1.37</v>
      </c>
    </row>
    <row r="67" spans="1:2" x14ac:dyDescent="0.3">
      <c r="A67" s="13">
        <v>44986</v>
      </c>
      <c r="B67" s="16">
        <v>1.36</v>
      </c>
    </row>
    <row r="68" spans="1:2" x14ac:dyDescent="0.3">
      <c r="A68" s="13">
        <v>45017</v>
      </c>
      <c r="B68" s="16">
        <v>1.39</v>
      </c>
    </row>
    <row r="69" spans="1:2" x14ac:dyDescent="0.3">
      <c r="A69" s="13">
        <v>45047</v>
      </c>
      <c r="B69" s="16">
        <v>1.35</v>
      </c>
    </row>
    <row r="70" spans="1:2" x14ac:dyDescent="0.3">
      <c r="A70" s="13">
        <v>45078</v>
      </c>
      <c r="B70" s="16">
        <v>1.3</v>
      </c>
    </row>
    <row r="71" spans="1:2" x14ac:dyDescent="0.3">
      <c r="A71" s="13">
        <v>45108</v>
      </c>
      <c r="B71" s="16">
        <v>1.3</v>
      </c>
    </row>
    <row r="72" spans="1:2" x14ac:dyDescent="0.3">
      <c r="A72" s="13">
        <v>45139</v>
      </c>
      <c r="B72" s="16">
        <v>1.29</v>
      </c>
    </row>
    <row r="73" spans="1:2" x14ac:dyDescent="0.3">
      <c r="A73" s="13">
        <v>45170</v>
      </c>
      <c r="B73" s="16">
        <v>1.27</v>
      </c>
    </row>
    <row r="74" spans="1:2" x14ac:dyDescent="0.3">
      <c r="A74" s="13">
        <v>45200</v>
      </c>
      <c r="B74" s="16">
        <v>1.29</v>
      </c>
    </row>
    <row r="75" spans="1:2" x14ac:dyDescent="0.3">
      <c r="A75" s="13">
        <v>45231</v>
      </c>
      <c r="B75" s="16">
        <v>1.31</v>
      </c>
    </row>
    <row r="76" spans="1:2" x14ac:dyDescent="0.3">
      <c r="A76" s="13">
        <v>45261</v>
      </c>
      <c r="B76" s="16">
        <v>1.32</v>
      </c>
    </row>
    <row r="77" spans="1:2" x14ac:dyDescent="0.3">
      <c r="A77" s="13">
        <v>45292</v>
      </c>
      <c r="B77" s="16">
        <v>1.3</v>
      </c>
    </row>
    <row r="78" spans="1:2" x14ac:dyDescent="0.3">
      <c r="A78" s="13">
        <v>45323</v>
      </c>
      <c r="B78" s="16">
        <v>1.29</v>
      </c>
    </row>
    <row r="79" spans="1:2" x14ac:dyDescent="0.3">
      <c r="A79" s="13">
        <v>45352</v>
      </c>
      <c r="B79" s="16">
        <v>1.31</v>
      </c>
    </row>
    <row r="80" spans="1:2" x14ac:dyDescent="0.3">
      <c r="A80" s="13">
        <v>45383</v>
      </c>
      <c r="B80" s="16">
        <v>1.32</v>
      </c>
    </row>
    <row r="81" spans="1:2" x14ac:dyDescent="0.3">
      <c r="A81" s="13">
        <v>45413</v>
      </c>
      <c r="B81" s="16">
        <v>1.35</v>
      </c>
    </row>
    <row r="82" spans="1:2" x14ac:dyDescent="0.3">
      <c r="A82" s="13">
        <v>45444</v>
      </c>
      <c r="B82" s="16">
        <v>1.34</v>
      </c>
    </row>
    <row r="83" spans="1:2" x14ac:dyDescent="0.3">
      <c r="A83" s="13">
        <v>45474</v>
      </c>
      <c r="B83" s="16">
        <v>1.34</v>
      </c>
    </row>
    <row r="84" spans="1:2" x14ac:dyDescent="0.3">
      <c r="A84" s="13">
        <v>45505</v>
      </c>
      <c r="B84" s="16">
        <v>1.37</v>
      </c>
    </row>
    <row r="85" spans="1:2" x14ac:dyDescent="0.3">
      <c r="A85" s="13">
        <v>45536</v>
      </c>
      <c r="B85" s="16">
        <v>1.39</v>
      </c>
    </row>
    <row r="86" spans="1:2" x14ac:dyDescent="0.3">
      <c r="A86" s="13">
        <v>45566</v>
      </c>
      <c r="B86" s="16">
        <v>1.37</v>
      </c>
    </row>
    <row r="87" spans="1:2" x14ac:dyDescent="0.3">
      <c r="A87" s="13">
        <v>45597</v>
      </c>
      <c r="B87" s="16">
        <v>1.35</v>
      </c>
    </row>
    <row r="88" spans="1:2" x14ac:dyDescent="0.3">
      <c r="A88" s="13">
        <v>45627</v>
      </c>
      <c r="B88" s="16">
        <v>1.36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E9F8-BD76-4251-9559-0C4C35BC0F17}">
  <dimension ref="A4:B89"/>
  <sheetViews>
    <sheetView workbookViewId="0">
      <selection activeCell="I26" sqref="I26"/>
    </sheetView>
  </sheetViews>
  <sheetFormatPr defaultRowHeight="14.5" x14ac:dyDescent="0.35"/>
  <cols>
    <col min="2" max="2" width="18.269531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0.94</v>
      </c>
    </row>
    <row r="6" spans="1:2" x14ac:dyDescent="0.35">
      <c r="A6" s="13">
        <v>43132</v>
      </c>
      <c r="B6" s="16">
        <v>0.97</v>
      </c>
    </row>
    <row r="7" spans="1:2" x14ac:dyDescent="0.35">
      <c r="A7" s="13">
        <v>43160</v>
      </c>
      <c r="B7" s="16">
        <v>1</v>
      </c>
    </row>
    <row r="8" spans="1:2" x14ac:dyDescent="0.35">
      <c r="A8" s="13">
        <v>43191</v>
      </c>
      <c r="B8" s="16">
        <v>1.02</v>
      </c>
    </row>
    <row r="9" spans="1:2" x14ac:dyDescent="0.35">
      <c r="A9" s="13">
        <v>43221</v>
      </c>
      <c r="B9" s="16">
        <v>1.04</v>
      </c>
    </row>
    <row r="10" spans="1:2" x14ac:dyDescent="0.35">
      <c r="A10" s="13">
        <v>43252</v>
      </c>
      <c r="B10" s="16">
        <v>1.05</v>
      </c>
    </row>
    <row r="11" spans="1:2" x14ac:dyDescent="0.35">
      <c r="A11" s="13">
        <v>43282</v>
      </c>
      <c r="B11" s="16">
        <v>1.06</v>
      </c>
    </row>
    <row r="12" spans="1:2" x14ac:dyDescent="0.35">
      <c r="A12" s="13">
        <v>43313</v>
      </c>
      <c r="B12" s="16">
        <v>1.07</v>
      </c>
    </row>
    <row r="13" spans="1:2" x14ac:dyDescent="0.35">
      <c r="A13" s="13">
        <v>43344</v>
      </c>
      <c r="B13" s="16">
        <v>1.1100000000000001</v>
      </c>
    </row>
    <row r="14" spans="1:2" x14ac:dyDescent="0.35">
      <c r="A14" s="13">
        <v>43374</v>
      </c>
      <c r="B14" s="16">
        <v>1.1100000000000001</v>
      </c>
    </row>
    <row r="15" spans="1:2" x14ac:dyDescent="0.35">
      <c r="A15" s="13">
        <v>43405</v>
      </c>
      <c r="B15" s="16">
        <v>1.1000000000000001</v>
      </c>
    </row>
    <row r="16" spans="1:2" x14ac:dyDescent="0.35">
      <c r="A16" s="13">
        <v>43435</v>
      </c>
      <c r="B16" s="16">
        <v>1.0900000000000001</v>
      </c>
    </row>
    <row r="17" spans="1:2" x14ac:dyDescent="0.35">
      <c r="A17" s="13">
        <v>43466</v>
      </c>
      <c r="B17" s="16">
        <v>1.0900000000000001</v>
      </c>
    </row>
    <row r="18" spans="1:2" x14ac:dyDescent="0.35">
      <c r="A18" s="13">
        <v>43497</v>
      </c>
      <c r="B18" s="16">
        <v>1.07</v>
      </c>
    </row>
    <row r="19" spans="1:2" x14ac:dyDescent="0.35">
      <c r="A19" s="13">
        <v>43525</v>
      </c>
      <c r="B19" s="16">
        <v>1.08</v>
      </c>
    </row>
    <row r="20" spans="1:2" x14ac:dyDescent="0.35">
      <c r="A20" s="13">
        <v>43556</v>
      </c>
      <c r="B20" s="16">
        <v>1.08</v>
      </c>
    </row>
    <row r="21" spans="1:2" x14ac:dyDescent="0.35">
      <c r="A21" s="13">
        <v>43586</v>
      </c>
      <c r="B21" s="16">
        <v>1.0900000000000001</v>
      </c>
    </row>
    <row r="22" spans="1:2" x14ac:dyDescent="0.35">
      <c r="A22" s="13">
        <v>43617</v>
      </c>
      <c r="B22" s="16">
        <v>1.1000000000000001</v>
      </c>
    </row>
    <row r="23" spans="1:2" x14ac:dyDescent="0.35">
      <c r="A23" s="13">
        <v>43647</v>
      </c>
      <c r="B23" s="16">
        <v>1.08</v>
      </c>
    </row>
    <row r="24" spans="1:2" x14ac:dyDescent="0.35">
      <c r="A24" s="13">
        <v>43678</v>
      </c>
      <c r="B24" s="16">
        <v>1.05</v>
      </c>
    </row>
    <row r="25" spans="1:2" x14ac:dyDescent="0.35">
      <c r="A25" s="13">
        <v>43709</v>
      </c>
      <c r="B25" s="16">
        <v>1.01</v>
      </c>
    </row>
    <row r="26" spans="1:2" x14ac:dyDescent="0.35">
      <c r="A26" s="13">
        <v>43739</v>
      </c>
      <c r="B26" s="16">
        <v>1.01</v>
      </c>
    </row>
    <row r="27" spans="1:2" x14ac:dyDescent="0.35">
      <c r="A27" s="13">
        <v>43770</v>
      </c>
      <c r="B27" s="16">
        <v>0.99</v>
      </c>
    </row>
    <row r="28" spans="1:2" x14ac:dyDescent="0.35">
      <c r="A28" s="13">
        <v>43800</v>
      </c>
      <c r="B28" s="16">
        <v>0.97</v>
      </c>
    </row>
    <row r="29" spans="1:2" x14ac:dyDescent="0.35">
      <c r="A29" s="13">
        <v>43831</v>
      </c>
      <c r="B29" s="16">
        <v>0.95</v>
      </c>
    </row>
    <row r="30" spans="1:2" x14ac:dyDescent="0.35">
      <c r="A30" s="13">
        <v>43862</v>
      </c>
      <c r="B30" s="16">
        <v>0.89</v>
      </c>
    </row>
    <row r="31" spans="1:2" x14ac:dyDescent="0.35">
      <c r="A31" s="13">
        <v>43891</v>
      </c>
      <c r="B31" s="16">
        <v>0.83</v>
      </c>
    </row>
    <row r="32" spans="1:2" x14ac:dyDescent="0.35">
      <c r="A32" s="13">
        <v>43922</v>
      </c>
      <c r="B32" s="16">
        <v>0.73</v>
      </c>
    </row>
    <row r="33" spans="1:2" x14ac:dyDescent="0.35">
      <c r="A33" s="13">
        <v>43952</v>
      </c>
      <c r="B33" s="16">
        <v>0.7</v>
      </c>
    </row>
    <row r="34" spans="1:2" x14ac:dyDescent="0.35">
      <c r="A34" s="13">
        <v>43983</v>
      </c>
      <c r="B34" s="16">
        <v>0.7</v>
      </c>
    </row>
    <row r="35" spans="1:2" x14ac:dyDescent="0.35">
      <c r="A35" s="13">
        <v>44013</v>
      </c>
      <c r="B35" s="16">
        <v>0.74</v>
      </c>
    </row>
    <row r="36" spans="1:2" x14ac:dyDescent="0.35">
      <c r="A36" s="13">
        <v>44044</v>
      </c>
      <c r="B36" s="16">
        <v>0.8</v>
      </c>
    </row>
    <row r="37" spans="1:2" x14ac:dyDescent="0.35">
      <c r="A37" s="13">
        <v>44075</v>
      </c>
      <c r="B37" s="16">
        <v>0.84</v>
      </c>
    </row>
    <row r="38" spans="1:2" x14ac:dyDescent="0.35">
      <c r="A38" s="13">
        <v>44105</v>
      </c>
      <c r="B38" s="16">
        <v>0.86</v>
      </c>
    </row>
    <row r="39" spans="1:2" x14ac:dyDescent="0.35">
      <c r="A39" s="13">
        <v>44136</v>
      </c>
      <c r="B39" s="16">
        <v>0.89</v>
      </c>
    </row>
    <row r="40" spans="1:2" x14ac:dyDescent="0.35">
      <c r="A40" s="13">
        <v>44166</v>
      </c>
      <c r="B40" s="16">
        <v>0.95</v>
      </c>
    </row>
    <row r="41" spans="1:2" x14ac:dyDescent="0.35">
      <c r="A41" s="13">
        <v>44197</v>
      </c>
      <c r="B41" s="16">
        <v>1.01</v>
      </c>
    </row>
    <row r="42" spans="1:2" x14ac:dyDescent="0.35">
      <c r="A42" s="13">
        <v>44228</v>
      </c>
      <c r="B42" s="16">
        <v>1.07</v>
      </c>
    </row>
    <row r="43" spans="1:2" x14ac:dyDescent="0.35">
      <c r="A43" s="13">
        <v>44256</v>
      </c>
      <c r="B43" s="16">
        <v>1.1200000000000001</v>
      </c>
    </row>
    <row r="44" spans="1:2" x14ac:dyDescent="0.35">
      <c r="A44" s="13">
        <v>44287</v>
      </c>
      <c r="B44" s="16">
        <v>1.18</v>
      </c>
    </row>
    <row r="45" spans="1:2" x14ac:dyDescent="0.35">
      <c r="A45" s="13">
        <v>44317</v>
      </c>
      <c r="B45" s="16">
        <v>1.25</v>
      </c>
    </row>
    <row r="46" spans="1:2" x14ac:dyDescent="0.35">
      <c r="A46" s="13">
        <v>44348</v>
      </c>
      <c r="B46" s="16">
        <v>1.27</v>
      </c>
    </row>
    <row r="47" spans="1:2" x14ac:dyDescent="0.35">
      <c r="A47" s="13">
        <v>44378</v>
      </c>
      <c r="B47" s="16">
        <v>1.24</v>
      </c>
    </row>
    <row r="48" spans="1:2" x14ac:dyDescent="0.35">
      <c r="A48" s="13">
        <v>44409</v>
      </c>
      <c r="B48" s="16">
        <v>1.27</v>
      </c>
    </row>
    <row r="49" spans="1:2" x14ac:dyDescent="0.35">
      <c r="A49" s="13">
        <v>44440</v>
      </c>
      <c r="B49" s="16">
        <v>1.29</v>
      </c>
    </row>
    <row r="50" spans="1:2" x14ac:dyDescent="0.35">
      <c r="A50" s="13">
        <v>44470</v>
      </c>
      <c r="B50" s="16">
        <v>1.31</v>
      </c>
    </row>
    <row r="51" spans="1:2" x14ac:dyDescent="0.35">
      <c r="A51" s="13">
        <v>44501</v>
      </c>
      <c r="B51" s="16">
        <v>1.31</v>
      </c>
    </row>
    <row r="52" spans="1:2" x14ac:dyDescent="0.35">
      <c r="A52" s="13">
        <v>44531</v>
      </c>
      <c r="B52" s="16">
        <v>1.34</v>
      </c>
    </row>
    <row r="53" spans="1:2" x14ac:dyDescent="0.35">
      <c r="A53" s="13">
        <v>44562</v>
      </c>
      <c r="B53" s="16">
        <v>1.39</v>
      </c>
    </row>
    <row r="54" spans="1:2" x14ac:dyDescent="0.35">
      <c r="A54" s="13">
        <v>44593</v>
      </c>
      <c r="B54" s="16">
        <v>1.46</v>
      </c>
    </row>
    <row r="55" spans="1:2" x14ac:dyDescent="0.35">
      <c r="A55" s="13">
        <v>44621</v>
      </c>
      <c r="B55" s="16">
        <v>1.47</v>
      </c>
    </row>
    <row r="56" spans="1:2" x14ac:dyDescent="0.35">
      <c r="A56" s="13">
        <v>44652</v>
      </c>
      <c r="B56" s="16">
        <v>1.51</v>
      </c>
    </row>
    <row r="57" spans="1:2" x14ac:dyDescent="0.35">
      <c r="A57" s="13">
        <v>44682</v>
      </c>
      <c r="B57" s="16">
        <v>1.49</v>
      </c>
    </row>
    <row r="58" spans="1:2" x14ac:dyDescent="0.35">
      <c r="A58" s="13">
        <v>44713</v>
      </c>
      <c r="B58" s="16">
        <v>1.48</v>
      </c>
    </row>
    <row r="59" spans="1:2" x14ac:dyDescent="0.35">
      <c r="A59" s="13">
        <v>44743</v>
      </c>
      <c r="B59" s="16">
        <v>1.39</v>
      </c>
    </row>
    <row r="60" spans="1:2" x14ac:dyDescent="0.35">
      <c r="A60" s="13">
        <v>44774</v>
      </c>
      <c r="B60" s="16">
        <v>1.33</v>
      </c>
    </row>
    <row r="61" spans="1:2" x14ac:dyDescent="0.35">
      <c r="A61" s="13">
        <v>44805</v>
      </c>
      <c r="B61" s="16">
        <v>1.26</v>
      </c>
    </row>
    <row r="62" spans="1:2" x14ac:dyDescent="0.35">
      <c r="A62" s="13">
        <v>44835</v>
      </c>
      <c r="B62" s="16">
        <v>1.22</v>
      </c>
    </row>
    <row r="63" spans="1:2" x14ac:dyDescent="0.35">
      <c r="A63" s="13">
        <v>44866</v>
      </c>
      <c r="B63" s="16">
        <v>1.22</v>
      </c>
    </row>
    <row r="64" spans="1:2" x14ac:dyDescent="0.35">
      <c r="A64" s="13">
        <v>44896</v>
      </c>
      <c r="B64" s="16">
        <v>1.26</v>
      </c>
    </row>
    <row r="65" spans="1:2" x14ac:dyDescent="0.35">
      <c r="A65" s="13">
        <v>44927</v>
      </c>
      <c r="B65" s="16">
        <v>1.25</v>
      </c>
    </row>
    <row r="66" spans="1:2" x14ac:dyDescent="0.35">
      <c r="A66" s="13">
        <v>44958</v>
      </c>
      <c r="B66" s="16">
        <v>1.25</v>
      </c>
    </row>
    <row r="67" spans="1:2" x14ac:dyDescent="0.35">
      <c r="A67" s="13">
        <v>44986</v>
      </c>
      <c r="B67" s="16">
        <v>1.23</v>
      </c>
    </row>
    <row r="68" spans="1:2" x14ac:dyDescent="0.35">
      <c r="A68" s="13">
        <v>45017</v>
      </c>
      <c r="B68" s="16">
        <v>1.26</v>
      </c>
    </row>
    <row r="69" spans="1:2" x14ac:dyDescent="0.35">
      <c r="A69" s="13">
        <v>45047</v>
      </c>
      <c r="B69" s="16">
        <v>1.22</v>
      </c>
    </row>
    <row r="70" spans="1:2" x14ac:dyDescent="0.35">
      <c r="A70" s="13">
        <v>45078</v>
      </c>
      <c r="B70" s="16">
        <v>1.18</v>
      </c>
    </row>
    <row r="71" spans="1:2" x14ac:dyDescent="0.35">
      <c r="A71" s="13">
        <v>45108</v>
      </c>
      <c r="B71" s="16">
        <v>1.19</v>
      </c>
    </row>
    <row r="72" spans="1:2" x14ac:dyDescent="0.35">
      <c r="A72" s="13">
        <v>45139</v>
      </c>
      <c r="B72" s="16">
        <v>1.1499999999999999</v>
      </c>
    </row>
    <row r="73" spans="1:2" x14ac:dyDescent="0.35">
      <c r="A73" s="13">
        <v>45170</v>
      </c>
      <c r="B73" s="16">
        <v>1.1200000000000001</v>
      </c>
    </row>
    <row r="74" spans="1:2" x14ac:dyDescent="0.35">
      <c r="A74" s="13">
        <v>45200</v>
      </c>
      <c r="B74" s="16">
        <v>1.0900000000000001</v>
      </c>
    </row>
    <row r="75" spans="1:2" x14ac:dyDescent="0.35">
      <c r="A75" s="13">
        <v>45231</v>
      </c>
      <c r="B75" s="16">
        <v>1.1399999999999999</v>
      </c>
    </row>
    <row r="76" spans="1:2" x14ac:dyDescent="0.35">
      <c r="A76" s="13">
        <v>45261</v>
      </c>
      <c r="B76" s="16">
        <v>1.1499999999999999</v>
      </c>
    </row>
    <row r="77" spans="1:2" x14ac:dyDescent="0.35">
      <c r="A77" s="13">
        <v>45292</v>
      </c>
      <c r="B77" s="16">
        <v>1.1399999999999999</v>
      </c>
    </row>
    <row r="78" spans="1:2" x14ac:dyDescent="0.35">
      <c r="A78" s="13">
        <v>45323</v>
      </c>
      <c r="B78" s="16">
        <v>1.1299999999999999</v>
      </c>
    </row>
    <row r="79" spans="1:2" x14ac:dyDescent="0.35">
      <c r="A79" s="13">
        <v>45352</v>
      </c>
      <c r="B79" s="16">
        <v>1.1599999999999999</v>
      </c>
    </row>
    <row r="80" spans="1:2" x14ac:dyDescent="0.35">
      <c r="A80" s="13">
        <v>45383</v>
      </c>
      <c r="B80" s="16">
        <v>1.1499999999999999</v>
      </c>
    </row>
    <row r="81" spans="1:2" x14ac:dyDescent="0.35">
      <c r="A81" s="13">
        <v>45413</v>
      </c>
      <c r="B81" s="16">
        <v>1.1499999999999999</v>
      </c>
    </row>
    <row r="82" spans="1:2" x14ac:dyDescent="0.35">
      <c r="A82" s="13">
        <v>45444</v>
      </c>
      <c r="B82" s="16">
        <v>1.17</v>
      </c>
    </row>
    <row r="83" spans="1:2" x14ac:dyDescent="0.35">
      <c r="A83" s="13">
        <v>45474</v>
      </c>
      <c r="B83" s="16">
        <v>1.19</v>
      </c>
    </row>
    <row r="84" spans="1:2" x14ac:dyDescent="0.35">
      <c r="A84" s="13">
        <v>45505</v>
      </c>
      <c r="B84" s="16">
        <v>1.22</v>
      </c>
    </row>
    <row r="85" spans="1:2" x14ac:dyDescent="0.35">
      <c r="A85" s="13">
        <v>45536</v>
      </c>
      <c r="B85" s="16">
        <v>1.24</v>
      </c>
    </row>
    <row r="86" spans="1:2" x14ac:dyDescent="0.35">
      <c r="A86" s="13">
        <v>45566</v>
      </c>
      <c r="B86" s="16">
        <v>1.23</v>
      </c>
    </row>
    <row r="87" spans="1:2" x14ac:dyDescent="0.35">
      <c r="A87" s="13">
        <v>45597</v>
      </c>
      <c r="B87" s="16">
        <v>1.22</v>
      </c>
    </row>
    <row r="88" spans="1:2" x14ac:dyDescent="0.35">
      <c r="A88" s="13">
        <v>45627</v>
      </c>
      <c r="B88" s="16">
        <v>1.2</v>
      </c>
    </row>
    <row r="89" spans="1:2" x14ac:dyDescent="0.35">
      <c r="A89" s="7"/>
      <c r="B89" s="1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EA46-6E2C-4C2D-BA1F-DCBED3658C55}">
  <dimension ref="A3:E88"/>
  <sheetViews>
    <sheetView zoomScaleNormal="100" workbookViewId="0">
      <selection activeCell="D4" sqref="D4"/>
    </sheetView>
  </sheetViews>
  <sheetFormatPr defaultRowHeight="14.5" x14ac:dyDescent="0.35"/>
  <cols>
    <col min="2" max="2" width="15.36328125" customWidth="1"/>
    <col min="3" max="3" width="14.6328125" style="16" customWidth="1"/>
    <col min="4" max="4" width="16.26953125" style="19" customWidth="1"/>
  </cols>
  <sheetData>
    <row r="3" spans="1:5" ht="29.5" customHeight="1" x14ac:dyDescent="0.35">
      <c r="D3" s="46" t="s">
        <v>117</v>
      </c>
      <c r="E3" s="45"/>
    </row>
    <row r="4" spans="1:5" x14ac:dyDescent="0.35">
      <c r="A4" s="14" t="s">
        <v>55</v>
      </c>
      <c r="D4" s="15" t="s">
        <v>194</v>
      </c>
    </row>
    <row r="5" spans="1:5" x14ac:dyDescent="0.35">
      <c r="A5" s="13">
        <v>43101</v>
      </c>
      <c r="B5" s="16">
        <f>0.26*'C2E'!B5</f>
        <v>0.24440000000000001</v>
      </c>
      <c r="C5" s="16">
        <f>0.73*BZ!B5</f>
        <v>0.62049999999999994</v>
      </c>
      <c r="D5" s="16">
        <f>B5+C5</f>
        <v>0.8649</v>
      </c>
    </row>
    <row r="6" spans="1:5" x14ac:dyDescent="0.35">
      <c r="A6" s="13">
        <v>43132</v>
      </c>
      <c r="B6" s="16">
        <f>0.26*'C2E'!B6</f>
        <v>0.25219999999999998</v>
      </c>
      <c r="C6" s="16">
        <f>0.73*BZ!B6</f>
        <v>0.6351</v>
      </c>
      <c r="D6" s="16">
        <f t="shared" ref="D6:D69" si="0">B6+C6</f>
        <v>0.88729999999999998</v>
      </c>
    </row>
    <row r="7" spans="1:5" x14ac:dyDescent="0.35">
      <c r="A7" s="13">
        <v>43160</v>
      </c>
      <c r="B7" s="16">
        <f>0.26*'C2E'!B7</f>
        <v>0.26</v>
      </c>
      <c r="C7" s="16">
        <f>0.73*BZ!B7</f>
        <v>0.64239999999999997</v>
      </c>
      <c r="D7" s="16">
        <f t="shared" si="0"/>
        <v>0.90239999999999998</v>
      </c>
    </row>
    <row r="8" spans="1:5" x14ac:dyDescent="0.35">
      <c r="A8" s="13">
        <v>43191</v>
      </c>
      <c r="B8" s="16">
        <f>0.26*'C2E'!B8</f>
        <v>0.26519999999999999</v>
      </c>
      <c r="C8" s="16">
        <f>0.73*BZ!B8</f>
        <v>0.65700000000000003</v>
      </c>
      <c r="D8" s="16">
        <f t="shared" si="0"/>
        <v>0.92220000000000002</v>
      </c>
    </row>
    <row r="9" spans="1:5" x14ac:dyDescent="0.35">
      <c r="A9" s="13">
        <v>43221</v>
      </c>
      <c r="B9" s="16">
        <f>0.26*'C2E'!B9</f>
        <v>0.27040000000000003</v>
      </c>
      <c r="C9" s="16">
        <f>0.73*BZ!B9</f>
        <v>0.67159999999999997</v>
      </c>
      <c r="D9" s="16">
        <f t="shared" si="0"/>
        <v>0.94199999999999995</v>
      </c>
    </row>
    <row r="10" spans="1:5" x14ac:dyDescent="0.35">
      <c r="A10" s="13">
        <v>43252</v>
      </c>
      <c r="B10" s="16">
        <f>0.26*'C2E'!B10</f>
        <v>0.27300000000000002</v>
      </c>
      <c r="C10" s="16">
        <f>0.73*BZ!B10</f>
        <v>0.67159999999999997</v>
      </c>
      <c r="D10" s="16">
        <f t="shared" si="0"/>
        <v>0.9446</v>
      </c>
    </row>
    <row r="11" spans="1:5" x14ac:dyDescent="0.35">
      <c r="A11" s="13">
        <v>43282</v>
      </c>
      <c r="B11" s="16">
        <f>0.26*'C2E'!B11</f>
        <v>0.27560000000000001</v>
      </c>
      <c r="C11" s="16">
        <f>0.73*BZ!B11</f>
        <v>0.68619999999999992</v>
      </c>
      <c r="D11" s="16">
        <f t="shared" si="0"/>
        <v>0.96179999999999999</v>
      </c>
    </row>
    <row r="12" spans="1:5" x14ac:dyDescent="0.35">
      <c r="A12" s="13">
        <v>43313</v>
      </c>
      <c r="B12" s="16">
        <f>0.26*'C2E'!B12</f>
        <v>0.2782</v>
      </c>
      <c r="C12" s="16">
        <f>0.73*BZ!B12</f>
        <v>0.68619999999999992</v>
      </c>
      <c r="D12" s="16">
        <f t="shared" si="0"/>
        <v>0.96439999999999992</v>
      </c>
    </row>
    <row r="13" spans="1:5" x14ac:dyDescent="0.35">
      <c r="A13" s="13">
        <v>43344</v>
      </c>
      <c r="B13" s="16">
        <f>0.26*'C2E'!B13</f>
        <v>0.28860000000000002</v>
      </c>
      <c r="C13" s="16">
        <f>0.73*BZ!B13</f>
        <v>0.67159999999999997</v>
      </c>
      <c r="D13" s="16">
        <f t="shared" si="0"/>
        <v>0.96019999999999994</v>
      </c>
    </row>
    <row r="14" spans="1:5" x14ac:dyDescent="0.35">
      <c r="A14" s="13">
        <v>43374</v>
      </c>
      <c r="B14" s="16">
        <f>0.26*'C2E'!B14</f>
        <v>0.28860000000000002</v>
      </c>
      <c r="C14" s="16">
        <f>0.73*BZ!B14</f>
        <v>0.61319999999999997</v>
      </c>
      <c r="D14" s="16">
        <f t="shared" si="0"/>
        <v>0.90179999999999993</v>
      </c>
    </row>
    <row r="15" spans="1:5" x14ac:dyDescent="0.35">
      <c r="A15" s="13">
        <v>43405</v>
      </c>
      <c r="B15" s="16">
        <f>0.26*'C2E'!B15</f>
        <v>0.28600000000000003</v>
      </c>
      <c r="C15" s="16">
        <f>0.73*BZ!B15</f>
        <v>0.56940000000000002</v>
      </c>
      <c r="D15" s="16">
        <f t="shared" si="0"/>
        <v>0.85540000000000005</v>
      </c>
    </row>
    <row r="16" spans="1:5" x14ac:dyDescent="0.35">
      <c r="A16" s="13">
        <v>43435</v>
      </c>
      <c r="B16" s="16">
        <f>0.26*'C2E'!B16</f>
        <v>0.28340000000000004</v>
      </c>
      <c r="C16" s="16">
        <f>0.73*BZ!B16</f>
        <v>0.51829999999999998</v>
      </c>
      <c r="D16" s="16">
        <f t="shared" si="0"/>
        <v>0.80170000000000008</v>
      </c>
    </row>
    <row r="17" spans="1:4" x14ac:dyDescent="0.35">
      <c r="A17" s="13">
        <v>43466</v>
      </c>
      <c r="B17" s="16">
        <f>0.26*'C2E'!B17</f>
        <v>0.28340000000000004</v>
      </c>
      <c r="C17" s="16">
        <f>0.73*BZ!B17</f>
        <v>0.48180000000000001</v>
      </c>
      <c r="D17" s="16">
        <f t="shared" si="0"/>
        <v>0.7652000000000001</v>
      </c>
    </row>
    <row r="18" spans="1:4" x14ac:dyDescent="0.35">
      <c r="A18" s="13">
        <v>43497</v>
      </c>
      <c r="B18" s="16">
        <f>0.26*'C2E'!B18</f>
        <v>0.2782</v>
      </c>
      <c r="C18" s="16">
        <f>0.73*BZ!B18</f>
        <v>0.48180000000000001</v>
      </c>
      <c r="D18" s="16">
        <f t="shared" si="0"/>
        <v>0.76</v>
      </c>
    </row>
    <row r="19" spans="1:4" x14ac:dyDescent="0.35">
      <c r="A19" s="13">
        <v>43525</v>
      </c>
      <c r="B19" s="16">
        <f>0.26*'C2E'!B19</f>
        <v>0.28080000000000005</v>
      </c>
      <c r="C19" s="16">
        <f>0.73*BZ!B19</f>
        <v>0.51100000000000001</v>
      </c>
      <c r="D19" s="16">
        <f t="shared" si="0"/>
        <v>0.79180000000000006</v>
      </c>
    </row>
    <row r="20" spans="1:4" x14ac:dyDescent="0.35">
      <c r="A20" s="13">
        <v>43556</v>
      </c>
      <c r="B20" s="16">
        <f>0.26*'C2E'!B20</f>
        <v>0.28080000000000005</v>
      </c>
      <c r="C20" s="16">
        <f>0.73*BZ!B20</f>
        <v>0.51829999999999998</v>
      </c>
      <c r="D20" s="16">
        <f t="shared" si="0"/>
        <v>0.79910000000000003</v>
      </c>
    </row>
    <row r="21" spans="1:4" x14ac:dyDescent="0.35">
      <c r="A21" s="13">
        <v>43586</v>
      </c>
      <c r="B21" s="16">
        <f>0.26*'C2E'!B21</f>
        <v>0.28340000000000004</v>
      </c>
      <c r="C21" s="16">
        <f>0.73*BZ!B21</f>
        <v>0.54749999999999999</v>
      </c>
      <c r="D21" s="16">
        <f t="shared" si="0"/>
        <v>0.83089999999999997</v>
      </c>
    </row>
    <row r="22" spans="1:4" x14ac:dyDescent="0.35">
      <c r="A22" s="13">
        <v>43617</v>
      </c>
      <c r="B22" s="16">
        <f>0.26*'C2E'!B22</f>
        <v>0.28600000000000003</v>
      </c>
      <c r="C22" s="16">
        <f>0.73*BZ!B22</f>
        <v>0.57669999999999999</v>
      </c>
      <c r="D22" s="16">
        <f t="shared" si="0"/>
        <v>0.86270000000000002</v>
      </c>
    </row>
    <row r="23" spans="1:4" x14ac:dyDescent="0.35">
      <c r="A23" s="13">
        <v>43647</v>
      </c>
      <c r="B23" s="16">
        <f>0.26*'C2E'!B23</f>
        <v>0.28080000000000005</v>
      </c>
      <c r="C23" s="16">
        <f>0.73*BZ!B23</f>
        <v>0.59130000000000005</v>
      </c>
      <c r="D23" s="16">
        <f t="shared" si="0"/>
        <v>0.8721000000000001</v>
      </c>
    </row>
    <row r="24" spans="1:4" x14ac:dyDescent="0.35">
      <c r="A24" s="13">
        <v>43678</v>
      </c>
      <c r="B24" s="16">
        <f>0.26*'C2E'!B24</f>
        <v>0.27300000000000002</v>
      </c>
      <c r="C24" s="16">
        <f>0.73*BZ!B24</f>
        <v>0.58399999999999996</v>
      </c>
      <c r="D24" s="16">
        <f t="shared" si="0"/>
        <v>0.85699999999999998</v>
      </c>
    </row>
    <row r="25" spans="1:4" x14ac:dyDescent="0.35">
      <c r="A25" s="13">
        <v>43709</v>
      </c>
      <c r="B25" s="16">
        <f>0.26*'C2E'!B25</f>
        <v>0.2626</v>
      </c>
      <c r="C25" s="16">
        <f>0.73*BZ!B25</f>
        <v>0.59130000000000005</v>
      </c>
      <c r="D25" s="16">
        <f t="shared" si="0"/>
        <v>0.8539000000000001</v>
      </c>
    </row>
    <row r="26" spans="1:4" x14ac:dyDescent="0.35">
      <c r="A26" s="13">
        <v>43739</v>
      </c>
      <c r="B26" s="16">
        <f>0.26*'C2E'!B26</f>
        <v>0.2626</v>
      </c>
      <c r="C26" s="16">
        <f>0.73*BZ!B26</f>
        <v>0.54020000000000001</v>
      </c>
      <c r="D26" s="16">
        <f t="shared" si="0"/>
        <v>0.80279999999999996</v>
      </c>
    </row>
    <row r="27" spans="1:4" x14ac:dyDescent="0.35">
      <c r="A27" s="13">
        <v>43770</v>
      </c>
      <c r="B27" s="16">
        <f>0.26*'C2E'!B27</f>
        <v>0.25740000000000002</v>
      </c>
      <c r="C27" s="16">
        <f>0.73*BZ!B27</f>
        <v>0.51829999999999998</v>
      </c>
      <c r="D27" s="16">
        <f t="shared" si="0"/>
        <v>0.77570000000000006</v>
      </c>
    </row>
    <row r="28" spans="1:4" x14ac:dyDescent="0.35">
      <c r="A28" s="13">
        <v>43800</v>
      </c>
      <c r="B28" s="16">
        <f>0.26*'C2E'!B28</f>
        <v>0.25219999999999998</v>
      </c>
      <c r="C28" s="16">
        <f>0.73*BZ!B28</f>
        <v>0.54020000000000001</v>
      </c>
      <c r="D28" s="16">
        <f t="shared" si="0"/>
        <v>0.79239999999999999</v>
      </c>
    </row>
    <row r="29" spans="1:4" x14ac:dyDescent="0.35">
      <c r="A29" s="13">
        <v>43831</v>
      </c>
      <c r="B29" s="16">
        <f>0.26*'C2E'!B29</f>
        <v>0.247</v>
      </c>
      <c r="C29" s="16">
        <f>0.73*BZ!B29</f>
        <v>0.54749999999999999</v>
      </c>
      <c r="D29" s="16">
        <f t="shared" si="0"/>
        <v>0.79449999999999998</v>
      </c>
    </row>
    <row r="30" spans="1:4" x14ac:dyDescent="0.35">
      <c r="A30" s="13">
        <v>43862</v>
      </c>
      <c r="B30" s="16">
        <f>0.26*'C2E'!B30</f>
        <v>0.23140000000000002</v>
      </c>
      <c r="C30" s="16">
        <f>0.73*BZ!B30</f>
        <v>0.50369999999999993</v>
      </c>
      <c r="D30" s="16">
        <f t="shared" si="0"/>
        <v>0.73509999999999998</v>
      </c>
    </row>
    <row r="31" spans="1:4" x14ac:dyDescent="0.35">
      <c r="A31" s="13">
        <v>43891</v>
      </c>
      <c r="B31" s="16">
        <f>0.26*'C2E'!B31</f>
        <v>0.21579999999999999</v>
      </c>
      <c r="C31" s="16">
        <f>0.73*BZ!B31</f>
        <v>0.39419999999999999</v>
      </c>
      <c r="D31" s="16">
        <f t="shared" si="0"/>
        <v>0.61</v>
      </c>
    </row>
    <row r="32" spans="1:4" x14ac:dyDescent="0.35">
      <c r="A32" s="13">
        <v>43922</v>
      </c>
      <c r="B32" s="16">
        <f>0.26*'C2E'!B32</f>
        <v>0.1898</v>
      </c>
      <c r="C32" s="16">
        <f>0.73*BZ!B32</f>
        <v>0.28470000000000001</v>
      </c>
      <c r="D32" s="16">
        <f t="shared" si="0"/>
        <v>0.47450000000000003</v>
      </c>
    </row>
    <row r="33" spans="1:4" x14ac:dyDescent="0.35">
      <c r="A33" s="13">
        <v>43952</v>
      </c>
      <c r="B33" s="16">
        <f>0.26*'C2E'!B33</f>
        <v>0.182</v>
      </c>
      <c r="C33" s="16">
        <f>0.73*BZ!B33</f>
        <v>0.26279999999999998</v>
      </c>
      <c r="D33" s="16">
        <f t="shared" si="0"/>
        <v>0.44479999999999997</v>
      </c>
    </row>
    <row r="34" spans="1:4" x14ac:dyDescent="0.35">
      <c r="A34" s="13">
        <v>43983</v>
      </c>
      <c r="B34" s="16">
        <f>0.26*'C2E'!B34</f>
        <v>0.182</v>
      </c>
      <c r="C34" s="16">
        <f>0.73*BZ!B34</f>
        <v>0.27739999999999998</v>
      </c>
      <c r="D34" s="16">
        <f t="shared" si="0"/>
        <v>0.45939999999999998</v>
      </c>
    </row>
    <row r="35" spans="1:4" x14ac:dyDescent="0.35">
      <c r="A35" s="13">
        <v>44013</v>
      </c>
      <c r="B35" s="16">
        <f>0.26*'C2E'!B35</f>
        <v>0.19240000000000002</v>
      </c>
      <c r="C35" s="16">
        <f>0.73*BZ!B35</f>
        <v>0.30659999999999998</v>
      </c>
      <c r="D35" s="16">
        <f t="shared" si="0"/>
        <v>0.499</v>
      </c>
    </row>
    <row r="36" spans="1:4" x14ac:dyDescent="0.35">
      <c r="A36" s="13">
        <v>44044</v>
      </c>
      <c r="B36" s="16">
        <f>0.26*'C2E'!B36</f>
        <v>0.20800000000000002</v>
      </c>
      <c r="C36" s="16">
        <f>0.73*BZ!B36</f>
        <v>0.32850000000000001</v>
      </c>
      <c r="D36" s="16">
        <f t="shared" si="0"/>
        <v>0.53649999999999998</v>
      </c>
    </row>
    <row r="37" spans="1:4" x14ac:dyDescent="0.35">
      <c r="A37" s="13">
        <v>44075</v>
      </c>
      <c r="B37" s="16">
        <f>0.26*'C2E'!B37</f>
        <v>0.21840000000000001</v>
      </c>
      <c r="C37" s="16">
        <f>0.73*BZ!B37</f>
        <v>0.33579999999999999</v>
      </c>
      <c r="D37" s="16">
        <f t="shared" si="0"/>
        <v>0.55420000000000003</v>
      </c>
    </row>
    <row r="38" spans="1:4" x14ac:dyDescent="0.35">
      <c r="A38" s="13">
        <v>44105</v>
      </c>
      <c r="B38" s="16">
        <f>0.26*'C2E'!B38</f>
        <v>0.22359999999999999</v>
      </c>
      <c r="C38" s="16">
        <f>0.73*BZ!B38</f>
        <v>0.35769999999999996</v>
      </c>
      <c r="D38" s="16">
        <f t="shared" si="0"/>
        <v>0.58129999999999993</v>
      </c>
    </row>
    <row r="39" spans="1:4" x14ac:dyDescent="0.35">
      <c r="A39" s="13">
        <v>44136</v>
      </c>
      <c r="B39" s="16">
        <f>0.26*'C2E'!B39</f>
        <v>0.23140000000000002</v>
      </c>
      <c r="C39" s="16">
        <f>0.73*BZ!B39</f>
        <v>0.40150000000000002</v>
      </c>
      <c r="D39" s="16">
        <f t="shared" si="0"/>
        <v>0.63290000000000002</v>
      </c>
    </row>
    <row r="40" spans="1:4" x14ac:dyDescent="0.35">
      <c r="A40" s="13">
        <v>44166</v>
      </c>
      <c r="B40" s="16">
        <f>0.26*'C2E'!B40</f>
        <v>0.247</v>
      </c>
      <c r="C40" s="16">
        <f>0.73*BZ!B40</f>
        <v>0.45989999999999998</v>
      </c>
      <c r="D40" s="16">
        <f t="shared" si="0"/>
        <v>0.70689999999999997</v>
      </c>
    </row>
    <row r="41" spans="1:4" x14ac:dyDescent="0.35">
      <c r="A41" s="13">
        <v>44197</v>
      </c>
      <c r="B41" s="16">
        <f>0.26*'C2E'!B41</f>
        <v>0.2626</v>
      </c>
      <c r="C41" s="16">
        <f>0.73*BZ!B41</f>
        <v>0.52559999999999996</v>
      </c>
      <c r="D41" s="16">
        <f t="shared" si="0"/>
        <v>0.78820000000000001</v>
      </c>
    </row>
    <row r="42" spans="1:4" x14ac:dyDescent="0.35">
      <c r="A42" s="13">
        <v>44228</v>
      </c>
      <c r="B42" s="16">
        <f>0.26*'C2E'!B42</f>
        <v>0.2782</v>
      </c>
      <c r="C42" s="16">
        <f>0.73*BZ!B42</f>
        <v>0.62049999999999994</v>
      </c>
      <c r="D42" s="16">
        <f t="shared" si="0"/>
        <v>0.89869999999999994</v>
      </c>
    </row>
    <row r="43" spans="1:4" x14ac:dyDescent="0.35">
      <c r="A43" s="13">
        <v>44256</v>
      </c>
      <c r="B43" s="16">
        <f>0.26*'C2E'!B43</f>
        <v>0.29120000000000001</v>
      </c>
      <c r="C43" s="16">
        <f>0.73*BZ!B43</f>
        <v>0.73</v>
      </c>
      <c r="D43" s="16">
        <f t="shared" si="0"/>
        <v>1.0211999999999999</v>
      </c>
    </row>
    <row r="44" spans="1:4" x14ac:dyDescent="0.35">
      <c r="A44" s="13">
        <v>44287</v>
      </c>
      <c r="B44" s="16">
        <f>0.26*'C2E'!B44</f>
        <v>0.30680000000000002</v>
      </c>
      <c r="C44" s="16">
        <f>0.73*BZ!B44</f>
        <v>0.78839999999999999</v>
      </c>
      <c r="D44" s="16">
        <f t="shared" si="0"/>
        <v>1.0952</v>
      </c>
    </row>
    <row r="45" spans="1:4" x14ac:dyDescent="0.35">
      <c r="A45" s="13">
        <v>44317</v>
      </c>
      <c r="B45" s="16">
        <f>0.26*'C2E'!B45</f>
        <v>0.32500000000000001</v>
      </c>
      <c r="C45" s="16">
        <f>0.73*BZ!B45</f>
        <v>0.88329999999999997</v>
      </c>
      <c r="D45" s="16">
        <f t="shared" si="0"/>
        <v>1.2082999999999999</v>
      </c>
    </row>
    <row r="46" spans="1:4" x14ac:dyDescent="0.35">
      <c r="A46" s="13">
        <v>44348</v>
      </c>
      <c r="B46" s="16">
        <f>0.26*'C2E'!B46</f>
        <v>0.33019999999999999</v>
      </c>
      <c r="C46" s="16">
        <f>0.73*BZ!B46</f>
        <v>0.86139999999999994</v>
      </c>
      <c r="D46" s="16">
        <f t="shared" si="0"/>
        <v>1.1916</v>
      </c>
    </row>
    <row r="47" spans="1:4" x14ac:dyDescent="0.35">
      <c r="A47" s="13">
        <v>44378</v>
      </c>
      <c r="B47" s="16">
        <f>0.26*'C2E'!B47</f>
        <v>0.32240000000000002</v>
      </c>
      <c r="C47" s="16">
        <f>0.73*BZ!B47</f>
        <v>0.80300000000000005</v>
      </c>
      <c r="D47" s="16">
        <f t="shared" si="0"/>
        <v>1.1254</v>
      </c>
    </row>
    <row r="48" spans="1:4" x14ac:dyDescent="0.35">
      <c r="A48" s="13">
        <v>44409</v>
      </c>
      <c r="B48" s="16">
        <f>0.26*'C2E'!B48</f>
        <v>0.33019999999999999</v>
      </c>
      <c r="C48" s="16">
        <f>0.73*BZ!B48</f>
        <v>0.75919999999999999</v>
      </c>
      <c r="D48" s="16">
        <f t="shared" si="0"/>
        <v>1.0893999999999999</v>
      </c>
    </row>
    <row r="49" spans="1:4" x14ac:dyDescent="0.35">
      <c r="A49" s="13">
        <v>44440</v>
      </c>
      <c r="B49" s="16">
        <f>0.26*'C2E'!B49</f>
        <v>0.33540000000000003</v>
      </c>
      <c r="C49" s="16">
        <f>0.73*BZ!B49</f>
        <v>0.74460000000000004</v>
      </c>
      <c r="D49" s="16">
        <f t="shared" si="0"/>
        <v>1.08</v>
      </c>
    </row>
    <row r="50" spans="1:4" x14ac:dyDescent="0.35">
      <c r="A50" s="13">
        <v>44470</v>
      </c>
      <c r="B50" s="16">
        <f>0.26*'C2E'!B50</f>
        <v>0.34060000000000001</v>
      </c>
      <c r="C50" s="16">
        <f>0.73*BZ!B50</f>
        <v>0.73</v>
      </c>
      <c r="D50" s="16">
        <f t="shared" si="0"/>
        <v>1.0706</v>
      </c>
    </row>
    <row r="51" spans="1:4" x14ac:dyDescent="0.35">
      <c r="A51" s="13">
        <v>44501</v>
      </c>
      <c r="B51" s="16">
        <f>0.26*'C2E'!B51</f>
        <v>0.34060000000000001</v>
      </c>
      <c r="C51" s="16">
        <f>0.73*BZ!B51</f>
        <v>0.73729999999999996</v>
      </c>
      <c r="D51" s="16">
        <f t="shared" si="0"/>
        <v>1.0779000000000001</v>
      </c>
    </row>
    <row r="52" spans="1:4" x14ac:dyDescent="0.35">
      <c r="A52" s="13">
        <v>44531</v>
      </c>
      <c r="B52" s="16">
        <f>0.26*'C2E'!B52</f>
        <v>0.34840000000000004</v>
      </c>
      <c r="C52" s="16">
        <f>0.73*BZ!B52</f>
        <v>0.75919999999999999</v>
      </c>
      <c r="D52" s="16">
        <f t="shared" si="0"/>
        <v>1.1076000000000001</v>
      </c>
    </row>
    <row r="53" spans="1:4" x14ac:dyDescent="0.35">
      <c r="A53" s="13">
        <v>44562</v>
      </c>
      <c r="B53" s="16">
        <f>0.26*'C2E'!B53</f>
        <v>0.3614</v>
      </c>
      <c r="C53" s="16">
        <f>0.73*BZ!B53</f>
        <v>0.80300000000000005</v>
      </c>
      <c r="D53" s="16">
        <f t="shared" si="0"/>
        <v>1.1644000000000001</v>
      </c>
    </row>
    <row r="54" spans="1:4" x14ac:dyDescent="0.35">
      <c r="A54" s="13">
        <v>44593</v>
      </c>
      <c r="B54" s="16">
        <f>0.26*'C2E'!B54</f>
        <v>0.37959999999999999</v>
      </c>
      <c r="C54" s="16">
        <f>0.73*BZ!B54</f>
        <v>0.83949999999999991</v>
      </c>
      <c r="D54" s="16">
        <f t="shared" si="0"/>
        <v>1.2190999999999999</v>
      </c>
    </row>
    <row r="55" spans="1:4" x14ac:dyDescent="0.35">
      <c r="A55" s="13">
        <v>44621</v>
      </c>
      <c r="B55" s="16">
        <f>0.26*'C2E'!B55</f>
        <v>0.38219999999999998</v>
      </c>
      <c r="C55" s="16">
        <f>0.73*BZ!B55</f>
        <v>0.85409999999999997</v>
      </c>
      <c r="D55" s="16">
        <f t="shared" si="0"/>
        <v>1.2363</v>
      </c>
    </row>
    <row r="56" spans="1:4" x14ac:dyDescent="0.35">
      <c r="A56" s="13">
        <v>44652</v>
      </c>
      <c r="B56" s="16">
        <f>0.26*'C2E'!B56</f>
        <v>0.3926</v>
      </c>
      <c r="C56" s="16">
        <f>0.73*BZ!B56</f>
        <v>0.9052</v>
      </c>
      <c r="D56" s="16">
        <f t="shared" si="0"/>
        <v>1.2978000000000001</v>
      </c>
    </row>
    <row r="57" spans="1:4" x14ac:dyDescent="0.35">
      <c r="A57" s="13">
        <v>44682</v>
      </c>
      <c r="B57" s="16">
        <f>0.26*'C2E'!B57</f>
        <v>0.38740000000000002</v>
      </c>
      <c r="C57" s="16">
        <f>0.73*BZ!B57</f>
        <v>0.97089999999999999</v>
      </c>
      <c r="D57" s="16">
        <f t="shared" si="0"/>
        <v>1.3583000000000001</v>
      </c>
    </row>
    <row r="58" spans="1:4" x14ac:dyDescent="0.35">
      <c r="A58" s="13">
        <v>44713</v>
      </c>
      <c r="B58" s="16">
        <f>0.26*'C2E'!B58</f>
        <v>0.38480000000000003</v>
      </c>
      <c r="C58" s="16">
        <f>0.73*BZ!B58</f>
        <v>0.99280000000000002</v>
      </c>
      <c r="D58" s="16">
        <f t="shared" si="0"/>
        <v>1.3776000000000002</v>
      </c>
    </row>
    <row r="59" spans="1:4" x14ac:dyDescent="0.35">
      <c r="A59" s="13">
        <v>44743</v>
      </c>
      <c r="B59" s="16">
        <f>0.26*'C2E'!B59</f>
        <v>0.3614</v>
      </c>
      <c r="C59" s="16">
        <f>0.73*BZ!B59</f>
        <v>0.96360000000000001</v>
      </c>
      <c r="D59" s="16">
        <f t="shared" si="0"/>
        <v>1.325</v>
      </c>
    </row>
    <row r="60" spans="1:4" x14ac:dyDescent="0.35">
      <c r="A60" s="13">
        <v>44774</v>
      </c>
      <c r="B60" s="16">
        <f>0.26*'C2E'!B60</f>
        <v>0.34580000000000005</v>
      </c>
      <c r="C60" s="16">
        <f>0.73*BZ!B60</f>
        <v>0.88329999999999997</v>
      </c>
      <c r="D60" s="16">
        <f t="shared" si="0"/>
        <v>1.2291000000000001</v>
      </c>
    </row>
    <row r="61" spans="1:4" x14ac:dyDescent="0.35">
      <c r="A61" s="13">
        <v>44805</v>
      </c>
      <c r="B61" s="16">
        <f>0.26*'C2E'!B61</f>
        <v>0.3276</v>
      </c>
      <c r="C61" s="16">
        <f>0.73*BZ!B61</f>
        <v>0.77380000000000004</v>
      </c>
      <c r="D61" s="16">
        <f t="shared" si="0"/>
        <v>1.1013999999999999</v>
      </c>
    </row>
    <row r="62" spans="1:4" x14ac:dyDescent="0.35">
      <c r="A62" s="13">
        <v>44835</v>
      </c>
      <c r="B62" s="16">
        <f>0.26*'C2E'!B62</f>
        <v>0.31719999999999998</v>
      </c>
      <c r="C62" s="16">
        <f>0.73*BZ!B62</f>
        <v>0.64969999999999994</v>
      </c>
      <c r="D62" s="16">
        <f t="shared" si="0"/>
        <v>0.96689999999999987</v>
      </c>
    </row>
    <row r="63" spans="1:4" x14ac:dyDescent="0.35">
      <c r="A63" s="13">
        <v>44866</v>
      </c>
      <c r="B63" s="16">
        <f>0.26*'C2E'!B63</f>
        <v>0.31719999999999998</v>
      </c>
      <c r="C63" s="16">
        <f>0.73*BZ!B63</f>
        <v>0.64969999999999994</v>
      </c>
      <c r="D63" s="16">
        <f t="shared" si="0"/>
        <v>0.96689999999999987</v>
      </c>
    </row>
    <row r="64" spans="1:4" x14ac:dyDescent="0.35">
      <c r="A64" s="13">
        <v>44896</v>
      </c>
      <c r="B64" s="16">
        <f>0.26*'C2E'!B64</f>
        <v>0.3276</v>
      </c>
      <c r="C64" s="16">
        <f>0.73*BZ!B64</f>
        <v>0.6643</v>
      </c>
      <c r="D64" s="16">
        <f t="shared" si="0"/>
        <v>0.9919</v>
      </c>
    </row>
    <row r="65" spans="1:4" x14ac:dyDescent="0.35">
      <c r="A65" s="13">
        <v>44927</v>
      </c>
      <c r="B65" s="16">
        <f>0.26*'C2E'!B65</f>
        <v>0.32500000000000001</v>
      </c>
      <c r="C65" s="16">
        <f>0.73*BZ!B65</f>
        <v>0.67890000000000006</v>
      </c>
      <c r="D65" s="16">
        <f t="shared" si="0"/>
        <v>1.0039</v>
      </c>
    </row>
    <row r="66" spans="1:4" x14ac:dyDescent="0.35">
      <c r="A66" s="13">
        <v>44958</v>
      </c>
      <c r="B66" s="16">
        <f>0.26*'C2E'!B66</f>
        <v>0.32500000000000001</v>
      </c>
      <c r="C66" s="16">
        <f>0.73*BZ!B66</f>
        <v>0.68619999999999992</v>
      </c>
      <c r="D66" s="16">
        <f t="shared" si="0"/>
        <v>1.0111999999999999</v>
      </c>
    </row>
    <row r="67" spans="1:4" x14ac:dyDescent="0.35">
      <c r="A67" s="13">
        <v>44986</v>
      </c>
      <c r="B67" s="16">
        <f>0.26*'C2E'!B67</f>
        <v>0.31980000000000003</v>
      </c>
      <c r="C67" s="16">
        <f>0.73*BZ!B67</f>
        <v>0.72270000000000001</v>
      </c>
      <c r="D67" s="16">
        <f t="shared" si="0"/>
        <v>1.0425</v>
      </c>
    </row>
    <row r="68" spans="1:4" x14ac:dyDescent="0.35">
      <c r="A68" s="13">
        <v>45017</v>
      </c>
      <c r="B68" s="16">
        <f>0.26*'C2E'!B68</f>
        <v>0.3276</v>
      </c>
      <c r="C68" s="16">
        <f>0.73*BZ!B68</f>
        <v>0.75190000000000001</v>
      </c>
      <c r="D68" s="16">
        <f t="shared" si="0"/>
        <v>1.0794999999999999</v>
      </c>
    </row>
    <row r="69" spans="1:4" x14ac:dyDescent="0.35">
      <c r="A69" s="13">
        <v>45047</v>
      </c>
      <c r="B69" s="16">
        <f>0.26*'C2E'!B69</f>
        <v>0.31719999999999998</v>
      </c>
      <c r="C69" s="16">
        <f>0.73*BZ!B69</f>
        <v>0.73729999999999996</v>
      </c>
      <c r="D69" s="16">
        <f t="shared" si="0"/>
        <v>1.0545</v>
      </c>
    </row>
    <row r="70" spans="1:4" x14ac:dyDescent="0.35">
      <c r="A70" s="13">
        <v>45078</v>
      </c>
      <c r="B70" s="16">
        <f>0.26*'C2E'!B70</f>
        <v>0.30680000000000002</v>
      </c>
      <c r="C70" s="16">
        <f>0.73*BZ!B70</f>
        <v>0.71539999999999992</v>
      </c>
      <c r="D70" s="16">
        <f t="shared" ref="D70:D88" si="1">B70+C70</f>
        <v>1.0222</v>
      </c>
    </row>
    <row r="71" spans="1:4" x14ac:dyDescent="0.35">
      <c r="A71" s="13">
        <v>45108</v>
      </c>
      <c r="B71" s="16">
        <f>0.26*'C2E'!B71</f>
        <v>0.30940000000000001</v>
      </c>
      <c r="C71" s="16">
        <f>0.73*BZ!B71</f>
        <v>0.72270000000000001</v>
      </c>
      <c r="D71" s="16">
        <f t="shared" si="1"/>
        <v>1.0321</v>
      </c>
    </row>
    <row r="72" spans="1:4" x14ac:dyDescent="0.35">
      <c r="A72" s="13">
        <v>45139</v>
      </c>
      <c r="B72" s="16">
        <f>0.26*'C2E'!B72</f>
        <v>0.29899999999999999</v>
      </c>
      <c r="C72" s="16">
        <f>0.73*BZ!B72</f>
        <v>0.71539999999999992</v>
      </c>
      <c r="D72" s="16">
        <f t="shared" si="1"/>
        <v>1.0144</v>
      </c>
    </row>
    <row r="73" spans="1:4" x14ac:dyDescent="0.35">
      <c r="A73" s="13">
        <v>45170</v>
      </c>
      <c r="B73" s="16">
        <f>0.26*'C2E'!B73</f>
        <v>0.29120000000000001</v>
      </c>
      <c r="C73" s="16">
        <f>0.73*BZ!B73</f>
        <v>0.70079999999999998</v>
      </c>
      <c r="D73" s="16">
        <f t="shared" si="1"/>
        <v>0.99199999999999999</v>
      </c>
    </row>
    <row r="74" spans="1:4" x14ac:dyDescent="0.35">
      <c r="A74" s="13">
        <v>45200</v>
      </c>
      <c r="B74" s="16">
        <f>0.26*'C2E'!B74</f>
        <v>0.28340000000000004</v>
      </c>
      <c r="C74" s="16">
        <f>0.73*BZ!B74</f>
        <v>0.70809999999999995</v>
      </c>
      <c r="D74" s="16">
        <f t="shared" si="1"/>
        <v>0.99150000000000005</v>
      </c>
    </row>
    <row r="75" spans="1:4" x14ac:dyDescent="0.35">
      <c r="A75" s="13">
        <v>45231</v>
      </c>
      <c r="B75" s="16">
        <f>0.26*'C2E'!B75</f>
        <v>0.2964</v>
      </c>
      <c r="C75" s="16">
        <f>0.73*BZ!B75</f>
        <v>0.72270000000000001</v>
      </c>
      <c r="D75" s="16">
        <f t="shared" si="1"/>
        <v>1.0190999999999999</v>
      </c>
    </row>
    <row r="76" spans="1:4" x14ac:dyDescent="0.35">
      <c r="A76" s="13">
        <v>45261</v>
      </c>
      <c r="B76" s="16">
        <f>0.26*'C2E'!B76</f>
        <v>0.29899999999999999</v>
      </c>
      <c r="C76" s="16">
        <f>0.73*BZ!B76</f>
        <v>0.73</v>
      </c>
      <c r="D76" s="16">
        <f t="shared" si="1"/>
        <v>1.0289999999999999</v>
      </c>
    </row>
    <row r="77" spans="1:4" x14ac:dyDescent="0.35">
      <c r="A77" s="13">
        <v>45292</v>
      </c>
      <c r="B77" s="16">
        <f>0.26*'C2E'!B77</f>
        <v>0.2964</v>
      </c>
      <c r="C77" s="16">
        <f>0.73*BZ!B77</f>
        <v>0.75919999999999999</v>
      </c>
      <c r="D77" s="16">
        <f t="shared" si="1"/>
        <v>1.0556000000000001</v>
      </c>
    </row>
    <row r="78" spans="1:4" x14ac:dyDescent="0.35">
      <c r="A78" s="13">
        <v>45323</v>
      </c>
      <c r="B78" s="16">
        <f>0.26*'C2E'!B78</f>
        <v>0.29380000000000001</v>
      </c>
      <c r="C78" s="16">
        <f>0.73*BZ!B78</f>
        <v>0.80300000000000005</v>
      </c>
      <c r="D78" s="16">
        <f t="shared" si="1"/>
        <v>1.0968</v>
      </c>
    </row>
    <row r="79" spans="1:4" x14ac:dyDescent="0.35">
      <c r="A79" s="13">
        <v>45352</v>
      </c>
      <c r="B79" s="16">
        <f>0.26*'C2E'!B79</f>
        <v>0.30159999999999998</v>
      </c>
      <c r="C79" s="16">
        <f>0.73*BZ!B79</f>
        <v>0.876</v>
      </c>
      <c r="D79" s="16">
        <f t="shared" si="1"/>
        <v>1.1776</v>
      </c>
    </row>
    <row r="80" spans="1:4" x14ac:dyDescent="0.35">
      <c r="A80" s="13">
        <v>45383</v>
      </c>
      <c r="B80" s="16">
        <f>0.26*'C2E'!B80</f>
        <v>0.29899999999999999</v>
      </c>
      <c r="C80" s="16">
        <f>0.73*BZ!B80</f>
        <v>0.91249999999999998</v>
      </c>
      <c r="D80" s="16">
        <f t="shared" si="1"/>
        <v>1.2115</v>
      </c>
    </row>
    <row r="81" spans="1:4" x14ac:dyDescent="0.35">
      <c r="A81" s="13">
        <v>45413</v>
      </c>
      <c r="B81" s="16">
        <f>0.26*'C2E'!B81</f>
        <v>0.29899999999999999</v>
      </c>
      <c r="C81" s="16">
        <f>0.73*BZ!B81</f>
        <v>0.91979999999999995</v>
      </c>
      <c r="D81" s="16">
        <f t="shared" si="1"/>
        <v>1.2187999999999999</v>
      </c>
    </row>
    <row r="82" spans="1:4" x14ac:dyDescent="0.35">
      <c r="A82" s="13">
        <v>45444</v>
      </c>
      <c r="B82" s="16">
        <f>0.26*'C2E'!B82</f>
        <v>0.30419999999999997</v>
      </c>
      <c r="C82" s="16">
        <f>0.73*BZ!B82</f>
        <v>0.876</v>
      </c>
      <c r="D82" s="16">
        <f t="shared" si="1"/>
        <v>1.1801999999999999</v>
      </c>
    </row>
    <row r="83" spans="1:4" x14ac:dyDescent="0.35">
      <c r="A83" s="13">
        <v>45474</v>
      </c>
      <c r="B83" s="16">
        <f>0.26*'C2E'!B83</f>
        <v>0.30940000000000001</v>
      </c>
      <c r="C83" s="16">
        <f>0.73*BZ!B83</f>
        <v>0.83219999999999994</v>
      </c>
      <c r="D83" s="16">
        <f t="shared" si="1"/>
        <v>1.1415999999999999</v>
      </c>
    </row>
    <row r="84" spans="1:4" x14ac:dyDescent="0.35">
      <c r="A84" s="13">
        <v>45505</v>
      </c>
      <c r="B84" s="16">
        <f>0.26*'C2E'!B84</f>
        <v>0.31719999999999998</v>
      </c>
      <c r="C84" s="16">
        <f>0.73*BZ!B84</f>
        <v>0.78839999999999999</v>
      </c>
      <c r="D84" s="16">
        <f t="shared" si="1"/>
        <v>1.1055999999999999</v>
      </c>
    </row>
    <row r="85" spans="1:4" x14ac:dyDescent="0.35">
      <c r="A85" s="13">
        <v>45536</v>
      </c>
      <c r="B85" s="16">
        <f>0.26*'C2E'!B85</f>
        <v>0.32240000000000002</v>
      </c>
      <c r="C85" s="16">
        <f>0.73*BZ!B85</f>
        <v>0.76649999999999996</v>
      </c>
      <c r="D85" s="16">
        <f t="shared" si="1"/>
        <v>1.0889</v>
      </c>
    </row>
    <row r="86" spans="1:4" x14ac:dyDescent="0.35">
      <c r="A86" s="13">
        <v>45566</v>
      </c>
      <c r="B86" s="16">
        <f>0.26*'C2E'!B86</f>
        <v>0.31980000000000003</v>
      </c>
      <c r="C86" s="16">
        <f>0.73*BZ!B86</f>
        <v>0.81030000000000002</v>
      </c>
      <c r="D86" s="16">
        <f t="shared" si="1"/>
        <v>1.1301000000000001</v>
      </c>
    </row>
    <row r="87" spans="1:4" x14ac:dyDescent="0.35">
      <c r="A87" s="13">
        <v>45597</v>
      </c>
      <c r="B87" s="16">
        <f>0.26*'C2E'!B87</f>
        <v>0.31719999999999998</v>
      </c>
      <c r="C87" s="16">
        <f>0.73*BZ!B87</f>
        <v>0.69350000000000001</v>
      </c>
      <c r="D87" s="16">
        <f t="shared" si="1"/>
        <v>1.0106999999999999</v>
      </c>
    </row>
    <row r="88" spans="1:4" x14ac:dyDescent="0.35">
      <c r="A88" s="13">
        <v>45627</v>
      </c>
      <c r="B88" s="16">
        <f>0.26*'C2E'!B88</f>
        <v>0.312</v>
      </c>
      <c r="C88" s="16">
        <f>0.73*BZ!B88</f>
        <v>0.64969999999999994</v>
      </c>
      <c r="D88" s="16">
        <f t="shared" si="1"/>
        <v>0.9617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F85C-6D2B-4243-A232-9D4CD06839B5}">
  <dimension ref="A4:B88"/>
  <sheetViews>
    <sheetView workbookViewId="0">
      <selection activeCell="B4" sqref="B4"/>
    </sheetView>
  </sheetViews>
  <sheetFormatPr defaultRowHeight="14.5" x14ac:dyDescent="0.35"/>
  <cols>
    <col min="2" max="2" width="14.906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0.85</v>
      </c>
    </row>
    <row r="6" spans="1:2" x14ac:dyDescent="0.35">
      <c r="A6" s="13">
        <v>43132</v>
      </c>
      <c r="B6" s="16">
        <v>0.87</v>
      </c>
    </row>
    <row r="7" spans="1:2" x14ac:dyDescent="0.35">
      <c r="A7" s="13">
        <v>43160</v>
      </c>
      <c r="B7" s="16">
        <v>0.88</v>
      </c>
    </row>
    <row r="8" spans="1:2" x14ac:dyDescent="0.35">
      <c r="A8" s="13">
        <v>43191</v>
      </c>
      <c r="B8" s="16">
        <v>0.9</v>
      </c>
    </row>
    <row r="9" spans="1:2" x14ac:dyDescent="0.35">
      <c r="A9" s="13">
        <v>43221</v>
      </c>
      <c r="B9" s="16">
        <v>0.92</v>
      </c>
    </row>
    <row r="10" spans="1:2" x14ac:dyDescent="0.35">
      <c r="A10" s="13">
        <v>43252</v>
      </c>
      <c r="B10" s="16">
        <v>0.92</v>
      </c>
    </row>
    <row r="11" spans="1:2" x14ac:dyDescent="0.35">
      <c r="A11" s="13">
        <v>43282</v>
      </c>
      <c r="B11" s="16">
        <v>0.94</v>
      </c>
    </row>
    <row r="12" spans="1:2" x14ac:dyDescent="0.35">
      <c r="A12" s="13">
        <v>43313</v>
      </c>
      <c r="B12" s="16">
        <v>0.94</v>
      </c>
    </row>
    <row r="13" spans="1:2" x14ac:dyDescent="0.35">
      <c r="A13" s="13">
        <v>43344</v>
      </c>
      <c r="B13" s="16">
        <v>0.92</v>
      </c>
    </row>
    <row r="14" spans="1:2" x14ac:dyDescent="0.35">
      <c r="A14" s="13">
        <v>43374</v>
      </c>
      <c r="B14" s="16">
        <v>0.84</v>
      </c>
    </row>
    <row r="15" spans="1:2" x14ac:dyDescent="0.35">
      <c r="A15" s="13">
        <v>43405</v>
      </c>
      <c r="B15" s="16">
        <v>0.78</v>
      </c>
    </row>
    <row r="16" spans="1:2" x14ac:dyDescent="0.35">
      <c r="A16" s="13">
        <v>43435</v>
      </c>
      <c r="B16" s="16">
        <v>0.71</v>
      </c>
    </row>
    <row r="17" spans="1:2" x14ac:dyDescent="0.35">
      <c r="A17" s="13">
        <v>43466</v>
      </c>
      <c r="B17" s="16">
        <v>0.66</v>
      </c>
    </row>
    <row r="18" spans="1:2" x14ac:dyDescent="0.35">
      <c r="A18" s="13">
        <v>43497</v>
      </c>
      <c r="B18" s="16">
        <v>0.66</v>
      </c>
    </row>
    <row r="19" spans="1:2" x14ac:dyDescent="0.35">
      <c r="A19" s="13">
        <v>43525</v>
      </c>
      <c r="B19" s="16">
        <v>0.7</v>
      </c>
    </row>
    <row r="20" spans="1:2" x14ac:dyDescent="0.35">
      <c r="A20" s="13">
        <v>43556</v>
      </c>
      <c r="B20" s="16">
        <v>0.71</v>
      </c>
    </row>
    <row r="21" spans="1:2" x14ac:dyDescent="0.35">
      <c r="A21" s="13">
        <v>43586</v>
      </c>
      <c r="B21" s="16">
        <v>0.75</v>
      </c>
    </row>
    <row r="22" spans="1:2" x14ac:dyDescent="0.35">
      <c r="A22" s="13">
        <v>43617</v>
      </c>
      <c r="B22" s="16">
        <v>0.79</v>
      </c>
    </row>
    <row r="23" spans="1:2" x14ac:dyDescent="0.35">
      <c r="A23" s="13">
        <v>43647</v>
      </c>
      <c r="B23" s="16">
        <v>0.81</v>
      </c>
    </row>
    <row r="24" spans="1:2" x14ac:dyDescent="0.35">
      <c r="A24" s="13">
        <v>43678</v>
      </c>
      <c r="B24" s="16">
        <v>0.8</v>
      </c>
    </row>
    <row r="25" spans="1:2" x14ac:dyDescent="0.35">
      <c r="A25" s="13">
        <v>43709</v>
      </c>
      <c r="B25" s="16">
        <v>0.81</v>
      </c>
    </row>
    <row r="26" spans="1:2" x14ac:dyDescent="0.35">
      <c r="A26" s="13">
        <v>43739</v>
      </c>
      <c r="B26" s="16">
        <v>0.74</v>
      </c>
    </row>
    <row r="27" spans="1:2" x14ac:dyDescent="0.35">
      <c r="A27" s="13">
        <v>43770</v>
      </c>
      <c r="B27" s="16">
        <v>0.71</v>
      </c>
    </row>
    <row r="28" spans="1:2" x14ac:dyDescent="0.35">
      <c r="A28" s="13">
        <v>43800</v>
      </c>
      <c r="B28" s="16">
        <v>0.74</v>
      </c>
    </row>
    <row r="29" spans="1:2" x14ac:dyDescent="0.35">
      <c r="A29" s="13">
        <v>43831</v>
      </c>
      <c r="B29" s="16">
        <v>0.75</v>
      </c>
    </row>
    <row r="30" spans="1:2" x14ac:dyDescent="0.35">
      <c r="A30" s="13">
        <v>43862</v>
      </c>
      <c r="B30" s="16">
        <v>0.69</v>
      </c>
    </row>
    <row r="31" spans="1:2" x14ac:dyDescent="0.35">
      <c r="A31" s="13">
        <v>43891</v>
      </c>
      <c r="B31" s="16">
        <v>0.54</v>
      </c>
    </row>
    <row r="32" spans="1:2" x14ac:dyDescent="0.35">
      <c r="A32" s="13">
        <v>43922</v>
      </c>
      <c r="B32" s="16">
        <v>0.39</v>
      </c>
    </row>
    <row r="33" spans="1:2" x14ac:dyDescent="0.35">
      <c r="A33" s="13">
        <v>43952</v>
      </c>
      <c r="B33" s="16">
        <v>0.36</v>
      </c>
    </row>
    <row r="34" spans="1:2" x14ac:dyDescent="0.35">
      <c r="A34" s="13">
        <v>43983</v>
      </c>
      <c r="B34" s="16">
        <v>0.38</v>
      </c>
    </row>
    <row r="35" spans="1:2" x14ac:dyDescent="0.35">
      <c r="A35" s="13">
        <v>44013</v>
      </c>
      <c r="B35" s="16">
        <v>0.42</v>
      </c>
    </row>
    <row r="36" spans="1:2" x14ac:dyDescent="0.35">
      <c r="A36" s="13">
        <v>44044</v>
      </c>
      <c r="B36" s="16">
        <v>0.45</v>
      </c>
    </row>
    <row r="37" spans="1:2" x14ac:dyDescent="0.35">
      <c r="A37" s="13">
        <v>44075</v>
      </c>
      <c r="B37" s="16">
        <v>0.46</v>
      </c>
    </row>
    <row r="38" spans="1:2" x14ac:dyDescent="0.35">
      <c r="A38" s="13">
        <v>44105</v>
      </c>
      <c r="B38" s="16">
        <v>0.49</v>
      </c>
    </row>
    <row r="39" spans="1:2" x14ac:dyDescent="0.35">
      <c r="A39" s="13">
        <v>44136</v>
      </c>
      <c r="B39" s="16">
        <v>0.55000000000000004</v>
      </c>
    </row>
    <row r="40" spans="1:2" x14ac:dyDescent="0.35">
      <c r="A40" s="13">
        <v>44166</v>
      </c>
      <c r="B40" s="16">
        <v>0.63</v>
      </c>
    </row>
    <row r="41" spans="1:2" x14ac:dyDescent="0.35">
      <c r="A41" s="13">
        <v>44197</v>
      </c>
      <c r="B41" s="16">
        <v>0.72</v>
      </c>
    </row>
    <row r="42" spans="1:2" x14ac:dyDescent="0.35">
      <c r="A42" s="13">
        <v>44228</v>
      </c>
      <c r="B42" s="16">
        <v>0.85</v>
      </c>
    </row>
    <row r="43" spans="1:2" x14ac:dyDescent="0.35">
      <c r="A43" s="13">
        <v>44256</v>
      </c>
      <c r="B43" s="16">
        <v>1</v>
      </c>
    </row>
    <row r="44" spans="1:2" x14ac:dyDescent="0.35">
      <c r="A44" s="13">
        <v>44287</v>
      </c>
      <c r="B44" s="16">
        <v>1.08</v>
      </c>
    </row>
    <row r="45" spans="1:2" x14ac:dyDescent="0.35">
      <c r="A45" s="13">
        <v>44317</v>
      </c>
      <c r="B45" s="16">
        <v>1.21</v>
      </c>
    </row>
    <row r="46" spans="1:2" x14ac:dyDescent="0.35">
      <c r="A46" s="13">
        <v>44348</v>
      </c>
      <c r="B46" s="16">
        <v>1.18</v>
      </c>
    </row>
    <row r="47" spans="1:2" x14ac:dyDescent="0.35">
      <c r="A47" s="13">
        <v>44378</v>
      </c>
      <c r="B47" s="16">
        <v>1.1000000000000001</v>
      </c>
    </row>
    <row r="48" spans="1:2" x14ac:dyDescent="0.35">
      <c r="A48" s="13">
        <v>44409</v>
      </c>
      <c r="B48" s="16">
        <v>1.04</v>
      </c>
    </row>
    <row r="49" spans="1:2" x14ac:dyDescent="0.35">
      <c r="A49" s="13">
        <v>44440</v>
      </c>
      <c r="B49" s="16">
        <v>1.02</v>
      </c>
    </row>
    <row r="50" spans="1:2" x14ac:dyDescent="0.35">
      <c r="A50" s="13">
        <v>44470</v>
      </c>
      <c r="B50" s="16">
        <v>1</v>
      </c>
    </row>
    <row r="51" spans="1:2" x14ac:dyDescent="0.35">
      <c r="A51" s="13">
        <v>44501</v>
      </c>
      <c r="B51" s="16">
        <v>1.01</v>
      </c>
    </row>
    <row r="52" spans="1:2" x14ac:dyDescent="0.35">
      <c r="A52" s="13">
        <v>44531</v>
      </c>
      <c r="B52" s="16">
        <v>1.04</v>
      </c>
    </row>
    <row r="53" spans="1:2" x14ac:dyDescent="0.35">
      <c r="A53" s="13">
        <v>44562</v>
      </c>
      <c r="B53" s="16">
        <v>1.1000000000000001</v>
      </c>
    </row>
    <row r="54" spans="1:2" x14ac:dyDescent="0.35">
      <c r="A54" s="13">
        <v>44593</v>
      </c>
      <c r="B54" s="16">
        <v>1.1499999999999999</v>
      </c>
    </row>
    <row r="55" spans="1:2" x14ac:dyDescent="0.35">
      <c r="A55" s="13">
        <v>44621</v>
      </c>
      <c r="B55" s="16">
        <v>1.17</v>
      </c>
    </row>
    <row r="56" spans="1:2" x14ac:dyDescent="0.35">
      <c r="A56" s="13">
        <v>44652</v>
      </c>
      <c r="B56" s="16">
        <v>1.24</v>
      </c>
    </row>
    <row r="57" spans="1:2" x14ac:dyDescent="0.35">
      <c r="A57" s="13">
        <v>44682</v>
      </c>
      <c r="B57" s="16">
        <v>1.33</v>
      </c>
    </row>
    <row r="58" spans="1:2" x14ac:dyDescent="0.35">
      <c r="A58" s="13">
        <v>44713</v>
      </c>
      <c r="B58" s="16">
        <v>1.36</v>
      </c>
    </row>
    <row r="59" spans="1:2" x14ac:dyDescent="0.35">
      <c r="A59" s="13">
        <v>44743</v>
      </c>
      <c r="B59" s="16">
        <v>1.32</v>
      </c>
    </row>
    <row r="60" spans="1:2" x14ac:dyDescent="0.35">
      <c r="A60" s="13">
        <v>44774</v>
      </c>
      <c r="B60" s="16">
        <v>1.21</v>
      </c>
    </row>
    <row r="61" spans="1:2" x14ac:dyDescent="0.35">
      <c r="A61" s="13">
        <v>44805</v>
      </c>
      <c r="B61" s="16">
        <v>1.06</v>
      </c>
    </row>
    <row r="62" spans="1:2" x14ac:dyDescent="0.35">
      <c r="A62" s="13">
        <v>44835</v>
      </c>
      <c r="B62" s="16">
        <v>0.89</v>
      </c>
    </row>
    <row r="63" spans="1:2" x14ac:dyDescent="0.35">
      <c r="A63" s="13">
        <v>44866</v>
      </c>
      <c r="B63" s="16">
        <v>0.89</v>
      </c>
    </row>
    <row r="64" spans="1:2" x14ac:dyDescent="0.35">
      <c r="A64" s="13">
        <v>44896</v>
      </c>
      <c r="B64" s="16">
        <v>0.91</v>
      </c>
    </row>
    <row r="65" spans="1:2" x14ac:dyDescent="0.35">
      <c r="A65" s="13">
        <v>44927</v>
      </c>
      <c r="B65" s="16">
        <v>0.93</v>
      </c>
    </row>
    <row r="66" spans="1:2" x14ac:dyDescent="0.35">
      <c r="A66" s="13">
        <v>44958</v>
      </c>
      <c r="B66" s="16">
        <v>0.94</v>
      </c>
    </row>
    <row r="67" spans="1:2" x14ac:dyDescent="0.35">
      <c r="A67" s="13">
        <v>44986</v>
      </c>
      <c r="B67" s="16">
        <v>0.99</v>
      </c>
    </row>
    <row r="68" spans="1:2" x14ac:dyDescent="0.35">
      <c r="A68" s="13">
        <v>45017</v>
      </c>
      <c r="B68" s="16">
        <v>1.03</v>
      </c>
    </row>
    <row r="69" spans="1:2" x14ac:dyDescent="0.35">
      <c r="A69" s="13">
        <v>45047</v>
      </c>
      <c r="B69" s="16">
        <v>1.01</v>
      </c>
    </row>
    <row r="70" spans="1:2" x14ac:dyDescent="0.35">
      <c r="A70" s="13">
        <v>45078</v>
      </c>
      <c r="B70" s="16">
        <v>0.98</v>
      </c>
    </row>
    <row r="71" spans="1:2" x14ac:dyDescent="0.35">
      <c r="A71" s="13">
        <v>45108</v>
      </c>
      <c r="B71" s="16">
        <v>0.99</v>
      </c>
    </row>
    <row r="72" spans="1:2" x14ac:dyDescent="0.35">
      <c r="A72" s="13">
        <v>45139</v>
      </c>
      <c r="B72" s="16">
        <v>0.98</v>
      </c>
    </row>
    <row r="73" spans="1:2" x14ac:dyDescent="0.35">
      <c r="A73" s="13">
        <v>45170</v>
      </c>
      <c r="B73" s="16">
        <v>0.96</v>
      </c>
    </row>
    <row r="74" spans="1:2" x14ac:dyDescent="0.35">
      <c r="A74" s="13">
        <v>45200</v>
      </c>
      <c r="B74" s="16">
        <v>0.97</v>
      </c>
    </row>
    <row r="75" spans="1:2" x14ac:dyDescent="0.35">
      <c r="A75" s="13">
        <v>45231</v>
      </c>
      <c r="B75" s="16">
        <v>0.99</v>
      </c>
    </row>
    <row r="76" spans="1:2" x14ac:dyDescent="0.35">
      <c r="A76" s="13">
        <v>45261</v>
      </c>
      <c r="B76" s="16">
        <v>1</v>
      </c>
    </row>
    <row r="77" spans="1:2" x14ac:dyDescent="0.35">
      <c r="A77" s="13">
        <v>45292</v>
      </c>
      <c r="B77" s="16">
        <v>1.04</v>
      </c>
    </row>
    <row r="78" spans="1:2" x14ac:dyDescent="0.35">
      <c r="A78" s="13">
        <v>45323</v>
      </c>
      <c r="B78" s="16">
        <v>1.1000000000000001</v>
      </c>
    </row>
    <row r="79" spans="1:2" x14ac:dyDescent="0.35">
      <c r="A79" s="13">
        <v>45352</v>
      </c>
      <c r="B79" s="16">
        <v>1.2</v>
      </c>
    </row>
    <row r="80" spans="1:2" x14ac:dyDescent="0.35">
      <c r="A80" s="13">
        <v>45383</v>
      </c>
      <c r="B80" s="16">
        <v>1.25</v>
      </c>
    </row>
    <row r="81" spans="1:2" x14ac:dyDescent="0.35">
      <c r="A81" s="13">
        <v>45413</v>
      </c>
      <c r="B81" s="16">
        <v>1.26</v>
      </c>
    </row>
    <row r="82" spans="1:2" x14ac:dyDescent="0.35">
      <c r="A82" s="13">
        <v>45444</v>
      </c>
      <c r="B82" s="16">
        <v>1.2</v>
      </c>
    </row>
    <row r="83" spans="1:2" x14ac:dyDescent="0.35">
      <c r="A83" s="13">
        <v>45474</v>
      </c>
      <c r="B83" s="16">
        <v>1.1399999999999999</v>
      </c>
    </row>
    <row r="84" spans="1:2" x14ac:dyDescent="0.35">
      <c r="A84" s="13">
        <v>45505</v>
      </c>
      <c r="B84" s="16">
        <v>1.08</v>
      </c>
    </row>
    <row r="85" spans="1:2" x14ac:dyDescent="0.35">
      <c r="A85" s="13">
        <v>45536</v>
      </c>
      <c r="B85" s="16">
        <v>1.05</v>
      </c>
    </row>
    <row r="86" spans="1:2" x14ac:dyDescent="0.35">
      <c r="A86" s="13">
        <v>45566</v>
      </c>
      <c r="B86" s="16">
        <v>1.1100000000000001</v>
      </c>
    </row>
    <row r="87" spans="1:2" x14ac:dyDescent="0.35">
      <c r="A87" s="13">
        <v>45597</v>
      </c>
      <c r="B87" s="16">
        <v>0.95</v>
      </c>
    </row>
    <row r="88" spans="1:2" x14ac:dyDescent="0.35">
      <c r="A88" s="13">
        <v>45627</v>
      </c>
      <c r="B88" s="16">
        <v>0.89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168D-0C35-49E5-B368-6B08E0BFF4EB}">
  <dimension ref="A4:B88"/>
  <sheetViews>
    <sheetView workbookViewId="0">
      <selection activeCell="B4" sqref="B4"/>
    </sheetView>
  </sheetViews>
  <sheetFormatPr defaultRowHeight="14.5" x14ac:dyDescent="0.35"/>
  <cols>
    <col min="2" max="2" width="19.5429687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0.94</v>
      </c>
    </row>
    <row r="6" spans="1:2" x14ac:dyDescent="0.35">
      <c r="A6" s="13">
        <v>43132</v>
      </c>
      <c r="B6" s="16">
        <v>0.97</v>
      </c>
    </row>
    <row r="7" spans="1:2" x14ac:dyDescent="0.35">
      <c r="A7" s="13">
        <v>43160</v>
      </c>
      <c r="B7" s="16">
        <v>0.95</v>
      </c>
    </row>
    <row r="8" spans="1:2" x14ac:dyDescent="0.35">
      <c r="A8" s="13">
        <v>43191</v>
      </c>
      <c r="B8" s="16">
        <v>0.97</v>
      </c>
    </row>
    <row r="9" spans="1:2" x14ac:dyDescent="0.35">
      <c r="A9" s="13">
        <v>43221</v>
      </c>
      <c r="B9" s="16">
        <v>0.97</v>
      </c>
    </row>
    <row r="10" spans="1:2" x14ac:dyDescent="0.35">
      <c r="A10" s="13">
        <v>43252</v>
      </c>
      <c r="B10" s="16">
        <v>0.98</v>
      </c>
    </row>
    <row r="11" spans="1:2" x14ac:dyDescent="0.35">
      <c r="A11" s="13">
        <v>43282</v>
      </c>
      <c r="B11" s="16">
        <v>0.99</v>
      </c>
    </row>
    <row r="12" spans="1:2" x14ac:dyDescent="0.35">
      <c r="A12" s="13">
        <v>43313</v>
      </c>
      <c r="B12" s="16">
        <v>0.98</v>
      </c>
    </row>
    <row r="13" spans="1:2" x14ac:dyDescent="0.35">
      <c r="A13" s="13">
        <v>43344</v>
      </c>
      <c r="B13" s="16">
        <v>0.98</v>
      </c>
    </row>
    <row r="14" spans="1:2" x14ac:dyDescent="0.35">
      <c r="A14" s="13">
        <v>43374</v>
      </c>
      <c r="B14" s="16">
        <v>0.95</v>
      </c>
    </row>
    <row r="15" spans="1:2" x14ac:dyDescent="0.35">
      <c r="A15" s="13">
        <v>43405</v>
      </c>
      <c r="B15" s="16">
        <v>0.9</v>
      </c>
    </row>
    <row r="16" spans="1:2" x14ac:dyDescent="0.35">
      <c r="A16" s="13">
        <v>43435</v>
      </c>
      <c r="B16" s="16">
        <v>0.85</v>
      </c>
    </row>
    <row r="17" spans="1:2" x14ac:dyDescent="0.35">
      <c r="A17" s="13">
        <v>43466</v>
      </c>
      <c r="B17" s="16">
        <v>0.81</v>
      </c>
    </row>
    <row r="18" spans="1:2" x14ac:dyDescent="0.35">
      <c r="A18" s="13">
        <v>43497</v>
      </c>
      <c r="B18" s="16">
        <v>0.77</v>
      </c>
    </row>
    <row r="19" spans="1:2" x14ac:dyDescent="0.35">
      <c r="A19" s="13">
        <v>43525</v>
      </c>
      <c r="B19" s="16">
        <v>0.74</v>
      </c>
    </row>
    <row r="20" spans="1:2" x14ac:dyDescent="0.35">
      <c r="A20" s="13">
        <v>43556</v>
      </c>
      <c r="B20" s="16">
        <v>0.71</v>
      </c>
    </row>
    <row r="21" spans="1:2" x14ac:dyDescent="0.35">
      <c r="A21" s="13">
        <v>43586</v>
      </c>
      <c r="B21" s="16">
        <v>0.69</v>
      </c>
    </row>
    <row r="22" spans="1:2" x14ac:dyDescent="0.35">
      <c r="A22" s="13">
        <v>43617</v>
      </c>
      <c r="B22" s="16">
        <v>0.67</v>
      </c>
    </row>
    <row r="23" spans="1:2" x14ac:dyDescent="0.35">
      <c r="A23" s="13">
        <v>43647</v>
      </c>
      <c r="B23" s="16">
        <v>0.64</v>
      </c>
    </row>
    <row r="24" spans="1:2" x14ac:dyDescent="0.35">
      <c r="A24" s="13">
        <v>43678</v>
      </c>
      <c r="B24" s="16">
        <v>0.61</v>
      </c>
    </row>
    <row r="25" spans="1:2" x14ac:dyDescent="0.35">
      <c r="A25" s="13">
        <v>43709</v>
      </c>
      <c r="B25" s="16">
        <v>0.59</v>
      </c>
    </row>
    <row r="26" spans="1:2" x14ac:dyDescent="0.35">
      <c r="A26" s="13">
        <v>43739</v>
      </c>
      <c r="B26" s="16">
        <v>0.57999999999999996</v>
      </c>
    </row>
    <row r="27" spans="1:2" x14ac:dyDescent="0.35">
      <c r="A27" s="13">
        <v>43770</v>
      </c>
      <c r="B27" s="16">
        <v>0.57999999999999996</v>
      </c>
    </row>
    <row r="28" spans="1:2" x14ac:dyDescent="0.35">
      <c r="A28" s="13">
        <v>43800</v>
      </c>
      <c r="B28" s="16">
        <v>0.56999999999999995</v>
      </c>
    </row>
    <row r="29" spans="1:2" x14ac:dyDescent="0.35">
      <c r="A29" s="13">
        <v>43831</v>
      </c>
      <c r="B29" s="16">
        <v>0.56999999999999995</v>
      </c>
    </row>
    <row r="30" spans="1:2" x14ac:dyDescent="0.35">
      <c r="A30" s="13">
        <v>43862</v>
      </c>
      <c r="B30" s="16">
        <v>0.54</v>
      </c>
    </row>
    <row r="31" spans="1:2" x14ac:dyDescent="0.35">
      <c r="A31" s="13">
        <v>43891</v>
      </c>
      <c r="B31" s="16">
        <v>0.53</v>
      </c>
    </row>
    <row r="32" spans="1:2" x14ac:dyDescent="0.35">
      <c r="A32" s="13">
        <v>43922</v>
      </c>
      <c r="B32" s="16">
        <v>0.49</v>
      </c>
    </row>
    <row r="33" spans="1:2" x14ac:dyDescent="0.35">
      <c r="A33" s="13">
        <v>43952</v>
      </c>
      <c r="B33" s="16">
        <v>0.47</v>
      </c>
    </row>
    <row r="34" spans="1:2" x14ac:dyDescent="0.35">
      <c r="A34" s="13">
        <v>43983</v>
      </c>
      <c r="B34" s="16">
        <v>0.47</v>
      </c>
    </row>
    <row r="35" spans="1:2" x14ac:dyDescent="0.35">
      <c r="A35" s="13">
        <v>44013</v>
      </c>
      <c r="B35" s="16">
        <v>0.51</v>
      </c>
    </row>
    <row r="36" spans="1:2" x14ac:dyDescent="0.35">
      <c r="A36" s="13">
        <v>44044</v>
      </c>
      <c r="B36" s="16">
        <v>0.55000000000000004</v>
      </c>
    </row>
    <row r="37" spans="1:2" x14ac:dyDescent="0.35">
      <c r="A37" s="13">
        <v>44075</v>
      </c>
      <c r="B37" s="16">
        <v>0.59</v>
      </c>
    </row>
    <row r="38" spans="1:2" x14ac:dyDescent="0.35">
      <c r="A38" s="13">
        <v>44105</v>
      </c>
      <c r="B38" s="16">
        <v>0.61</v>
      </c>
    </row>
    <row r="39" spans="1:2" x14ac:dyDescent="0.35">
      <c r="A39" s="13">
        <v>44136</v>
      </c>
      <c r="B39" s="16">
        <v>0.63</v>
      </c>
    </row>
    <row r="40" spans="1:2" x14ac:dyDescent="0.35">
      <c r="A40" s="13">
        <v>44166</v>
      </c>
      <c r="B40" s="16">
        <v>0.68</v>
      </c>
    </row>
    <row r="41" spans="1:2" x14ac:dyDescent="0.35">
      <c r="A41" s="13">
        <v>44197</v>
      </c>
      <c r="B41" s="16">
        <v>0.71</v>
      </c>
    </row>
    <row r="42" spans="1:2" x14ac:dyDescent="0.35">
      <c r="A42" s="13">
        <v>44228</v>
      </c>
      <c r="B42" s="16">
        <v>0.73</v>
      </c>
    </row>
    <row r="43" spans="1:2" x14ac:dyDescent="0.35">
      <c r="A43" s="13">
        <v>44256</v>
      </c>
      <c r="B43" s="16">
        <v>0.76</v>
      </c>
    </row>
    <row r="44" spans="1:2" x14ac:dyDescent="0.35">
      <c r="A44" s="13">
        <v>44287</v>
      </c>
      <c r="B44" s="16">
        <v>0.8</v>
      </c>
    </row>
    <row r="45" spans="1:2" x14ac:dyDescent="0.35">
      <c r="A45" s="13">
        <v>44317</v>
      </c>
      <c r="B45" s="16">
        <v>0.82</v>
      </c>
    </row>
    <row r="46" spans="1:2" x14ac:dyDescent="0.35">
      <c r="A46" s="13">
        <v>44348</v>
      </c>
      <c r="B46" s="16">
        <v>0.82</v>
      </c>
    </row>
    <row r="47" spans="1:2" x14ac:dyDescent="0.35">
      <c r="A47" s="13">
        <v>44378</v>
      </c>
      <c r="B47" s="16">
        <v>0.81</v>
      </c>
    </row>
    <row r="48" spans="1:2" x14ac:dyDescent="0.35">
      <c r="A48" s="13">
        <v>44409</v>
      </c>
      <c r="B48" s="16">
        <v>0.83</v>
      </c>
    </row>
    <row r="49" spans="1:2" x14ac:dyDescent="0.35">
      <c r="A49" s="13">
        <v>44440</v>
      </c>
      <c r="B49" s="16">
        <v>0.84</v>
      </c>
    </row>
    <row r="50" spans="1:2" x14ac:dyDescent="0.35">
      <c r="A50" s="13">
        <v>44470</v>
      </c>
      <c r="B50" s="16">
        <v>0.85</v>
      </c>
    </row>
    <row r="51" spans="1:2" x14ac:dyDescent="0.35">
      <c r="A51" s="13">
        <v>44501</v>
      </c>
      <c r="B51" s="16">
        <v>0.85</v>
      </c>
    </row>
    <row r="52" spans="1:2" x14ac:dyDescent="0.35">
      <c r="A52" s="13">
        <v>44531</v>
      </c>
      <c r="B52" s="16">
        <v>0.87</v>
      </c>
    </row>
    <row r="53" spans="1:2" x14ac:dyDescent="0.35">
      <c r="A53" s="13">
        <v>44562</v>
      </c>
      <c r="B53" s="16">
        <v>0.88</v>
      </c>
    </row>
    <row r="54" spans="1:2" x14ac:dyDescent="0.35">
      <c r="A54" s="13">
        <v>44593</v>
      </c>
      <c r="B54" s="16">
        <v>0.89</v>
      </c>
    </row>
    <row r="55" spans="1:2" x14ac:dyDescent="0.35">
      <c r="A55" s="13">
        <v>44621</v>
      </c>
      <c r="B55" s="16">
        <v>0.87</v>
      </c>
    </row>
    <row r="56" spans="1:2" x14ac:dyDescent="0.35">
      <c r="A56" s="13">
        <v>44652</v>
      </c>
      <c r="B56" s="16">
        <v>0.88</v>
      </c>
    </row>
    <row r="57" spans="1:2" x14ac:dyDescent="0.35">
      <c r="A57" s="13">
        <v>44682</v>
      </c>
      <c r="B57" s="16">
        <v>0.85</v>
      </c>
    </row>
    <row r="58" spans="1:2" x14ac:dyDescent="0.35">
      <c r="A58" s="13">
        <v>44713</v>
      </c>
      <c r="B58" s="16">
        <v>0.84</v>
      </c>
    </row>
    <row r="59" spans="1:2" x14ac:dyDescent="0.35">
      <c r="A59" s="13">
        <v>44743</v>
      </c>
      <c r="B59" s="16">
        <v>0.8</v>
      </c>
    </row>
    <row r="60" spans="1:2" x14ac:dyDescent="0.35">
      <c r="A60" s="13">
        <v>44774</v>
      </c>
      <c r="B60" s="16">
        <v>0.76</v>
      </c>
    </row>
    <row r="61" spans="1:2" x14ac:dyDescent="0.35">
      <c r="A61" s="13">
        <v>44805</v>
      </c>
      <c r="B61" s="16">
        <v>0.73</v>
      </c>
    </row>
    <row r="62" spans="1:2" x14ac:dyDescent="0.35">
      <c r="A62" s="13">
        <v>44835</v>
      </c>
      <c r="B62" s="16">
        <v>0.7</v>
      </c>
    </row>
    <row r="63" spans="1:2" x14ac:dyDescent="0.35">
      <c r="A63" s="13">
        <v>44866</v>
      </c>
      <c r="B63" s="16">
        <v>0.71</v>
      </c>
    </row>
    <row r="64" spans="1:2" x14ac:dyDescent="0.35">
      <c r="A64" s="13">
        <v>44896</v>
      </c>
      <c r="B64" s="16">
        <v>0.72</v>
      </c>
    </row>
    <row r="65" spans="1:2" x14ac:dyDescent="0.35">
      <c r="A65" s="13">
        <v>44927</v>
      </c>
      <c r="B65" s="16">
        <v>0.73</v>
      </c>
    </row>
    <row r="66" spans="1:2" x14ac:dyDescent="0.35">
      <c r="A66" s="13">
        <v>44958</v>
      </c>
      <c r="B66" s="16">
        <v>0.71</v>
      </c>
    </row>
    <row r="67" spans="1:2" x14ac:dyDescent="0.35">
      <c r="A67" s="13">
        <v>44986</v>
      </c>
      <c r="B67" s="16">
        <v>0.69</v>
      </c>
    </row>
    <row r="68" spans="1:2" x14ac:dyDescent="0.35">
      <c r="A68" s="13">
        <v>45017</v>
      </c>
      <c r="B68" s="16">
        <v>0.69</v>
      </c>
    </row>
    <row r="69" spans="1:2" x14ac:dyDescent="0.35">
      <c r="A69" s="13">
        <v>45047</v>
      </c>
      <c r="B69" s="16">
        <v>0.66</v>
      </c>
    </row>
    <row r="70" spans="1:2" x14ac:dyDescent="0.35">
      <c r="A70" s="13">
        <v>45078</v>
      </c>
      <c r="B70" s="16">
        <v>0.64</v>
      </c>
    </row>
    <row r="71" spans="1:2" x14ac:dyDescent="0.35">
      <c r="A71" s="13">
        <v>45108</v>
      </c>
      <c r="B71" s="16">
        <v>0.64</v>
      </c>
    </row>
    <row r="72" spans="1:2" x14ac:dyDescent="0.35">
      <c r="A72" s="13">
        <v>45139</v>
      </c>
      <c r="B72" s="16">
        <v>0.63</v>
      </c>
    </row>
    <row r="73" spans="1:2" x14ac:dyDescent="0.35">
      <c r="A73" s="13">
        <v>45170</v>
      </c>
      <c r="B73" s="16">
        <v>0.61</v>
      </c>
    </row>
    <row r="74" spans="1:2" x14ac:dyDescent="0.35">
      <c r="A74" s="13">
        <v>45200</v>
      </c>
      <c r="B74" s="16">
        <v>0.62</v>
      </c>
    </row>
    <row r="75" spans="1:2" x14ac:dyDescent="0.35">
      <c r="A75" s="13">
        <v>45231</v>
      </c>
      <c r="B75" s="16">
        <v>0.63</v>
      </c>
    </row>
    <row r="76" spans="1:2" x14ac:dyDescent="0.35">
      <c r="A76" s="13">
        <v>45261</v>
      </c>
      <c r="B76" s="16">
        <v>0.63</v>
      </c>
    </row>
    <row r="77" spans="1:2" x14ac:dyDescent="0.35">
      <c r="A77" s="13">
        <v>45292</v>
      </c>
      <c r="B77" s="16">
        <v>0.63</v>
      </c>
    </row>
    <row r="78" spans="1:2" x14ac:dyDescent="0.35">
      <c r="A78" s="13">
        <v>45323</v>
      </c>
      <c r="B78" s="16">
        <v>0.64</v>
      </c>
    </row>
    <row r="79" spans="1:2" x14ac:dyDescent="0.35">
      <c r="A79" s="13">
        <v>45352</v>
      </c>
      <c r="B79" s="16">
        <v>0.66</v>
      </c>
    </row>
    <row r="80" spans="1:2" x14ac:dyDescent="0.35">
      <c r="A80" s="13">
        <v>45383</v>
      </c>
      <c r="B80" s="16">
        <v>0.65</v>
      </c>
    </row>
    <row r="81" spans="1:2" x14ac:dyDescent="0.35">
      <c r="A81" s="13">
        <v>45413</v>
      </c>
      <c r="B81" s="16">
        <v>0.67</v>
      </c>
    </row>
    <row r="82" spans="1:2" x14ac:dyDescent="0.35">
      <c r="A82" s="13">
        <v>45444</v>
      </c>
      <c r="B82" s="16">
        <v>0.67</v>
      </c>
    </row>
    <row r="83" spans="1:2" x14ac:dyDescent="0.35">
      <c r="A83" s="13">
        <v>45474</v>
      </c>
      <c r="B83" s="16">
        <v>0.68</v>
      </c>
    </row>
    <row r="84" spans="1:2" x14ac:dyDescent="0.35">
      <c r="A84" s="13">
        <v>45505</v>
      </c>
      <c r="B84" s="16">
        <v>0.69</v>
      </c>
    </row>
    <row r="85" spans="1:2" x14ac:dyDescent="0.35">
      <c r="A85" s="13">
        <v>45536</v>
      </c>
      <c r="B85" s="16">
        <v>0.7</v>
      </c>
    </row>
    <row r="86" spans="1:2" x14ac:dyDescent="0.35">
      <c r="A86" s="13">
        <v>45566</v>
      </c>
      <c r="B86" s="16">
        <v>0.68</v>
      </c>
    </row>
    <row r="87" spans="1:2" x14ac:dyDescent="0.35">
      <c r="A87" s="13">
        <v>45597</v>
      </c>
      <c r="B87" s="16">
        <v>0.66</v>
      </c>
    </row>
    <row r="88" spans="1:2" x14ac:dyDescent="0.35">
      <c r="A88" s="13">
        <v>45627</v>
      </c>
      <c r="B88" s="16">
        <v>0.65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1B36-1671-4911-B60F-65FA0DCB1DD0}">
  <dimension ref="A3:B88"/>
  <sheetViews>
    <sheetView zoomScaleNormal="100" workbookViewId="0">
      <pane xSplit="1" topLeftCell="B1" activePane="topRight" state="frozen"/>
      <selection pane="topRight" activeCell="B4" sqref="B4"/>
    </sheetView>
  </sheetViews>
  <sheetFormatPr defaultRowHeight="14.5" x14ac:dyDescent="0.35"/>
  <cols>
    <col min="2" max="2" width="17.6328125" style="19" customWidth="1"/>
  </cols>
  <sheetData>
    <row r="3" spans="1:2" x14ac:dyDescent="0.35">
      <c r="B3" s="19" t="s">
        <v>166</v>
      </c>
    </row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/>
    </row>
    <row r="8" spans="1:2" x14ac:dyDescent="0.35">
      <c r="A8" s="13">
        <v>43191</v>
      </c>
      <c r="B8" s="16"/>
    </row>
    <row r="9" spans="1:2" x14ac:dyDescent="0.35">
      <c r="A9" s="13">
        <v>43221</v>
      </c>
      <c r="B9" s="16"/>
    </row>
    <row r="10" spans="1:2" x14ac:dyDescent="0.35">
      <c r="A10" s="13">
        <v>43252</v>
      </c>
      <c r="B10" s="16"/>
    </row>
    <row r="11" spans="1:2" x14ac:dyDescent="0.35">
      <c r="A11" s="13">
        <v>43282</v>
      </c>
      <c r="B11" s="16"/>
    </row>
    <row r="12" spans="1:2" x14ac:dyDescent="0.35">
      <c r="A12" s="13">
        <v>43313</v>
      </c>
      <c r="B12" s="16"/>
    </row>
    <row r="13" spans="1:2" x14ac:dyDescent="0.35">
      <c r="A13" s="13">
        <v>43344</v>
      </c>
      <c r="B13" s="16"/>
    </row>
    <row r="14" spans="1:2" x14ac:dyDescent="0.35">
      <c r="A14" s="13">
        <v>43374</v>
      </c>
      <c r="B14" s="16"/>
    </row>
    <row r="15" spans="1:2" x14ac:dyDescent="0.35">
      <c r="A15" s="13">
        <v>43405</v>
      </c>
      <c r="B15" s="16"/>
    </row>
    <row r="16" spans="1:2" x14ac:dyDescent="0.35">
      <c r="A16" s="13">
        <v>43435</v>
      </c>
      <c r="B16" s="16"/>
    </row>
    <row r="17" spans="1:2" x14ac:dyDescent="0.35">
      <c r="A17" s="13">
        <v>43466</v>
      </c>
      <c r="B17" s="16">
        <v>0.4</v>
      </c>
    </row>
    <row r="18" spans="1:2" x14ac:dyDescent="0.35">
      <c r="A18" s="13">
        <v>43497</v>
      </c>
      <c r="B18" s="16">
        <v>0.4</v>
      </c>
    </row>
    <row r="19" spans="1:2" x14ac:dyDescent="0.35">
      <c r="A19" s="13">
        <v>43525</v>
      </c>
      <c r="B19" s="16">
        <v>0.39</v>
      </c>
    </row>
    <row r="20" spans="1:2" x14ac:dyDescent="0.35">
      <c r="A20" s="13">
        <v>43556</v>
      </c>
      <c r="B20" s="16">
        <v>0.39</v>
      </c>
    </row>
    <row r="21" spans="1:2" x14ac:dyDescent="0.35">
      <c r="A21" s="13">
        <v>43586</v>
      </c>
      <c r="B21" s="16">
        <v>0.39</v>
      </c>
    </row>
    <row r="22" spans="1:2" x14ac:dyDescent="0.35">
      <c r="A22" s="13">
        <v>43617</v>
      </c>
      <c r="B22" s="16">
        <v>0.39</v>
      </c>
    </row>
    <row r="23" spans="1:2" x14ac:dyDescent="0.35">
      <c r="A23" s="13">
        <v>43647</v>
      </c>
      <c r="B23" s="16">
        <v>0.35</v>
      </c>
    </row>
    <row r="24" spans="1:2" x14ac:dyDescent="0.35">
      <c r="A24" s="13">
        <v>43678</v>
      </c>
      <c r="B24" s="16">
        <v>0.34</v>
      </c>
    </row>
    <row r="25" spans="1:2" x14ac:dyDescent="0.35">
      <c r="A25" s="13">
        <v>43709</v>
      </c>
      <c r="B25" s="16">
        <v>0.33</v>
      </c>
    </row>
    <row r="26" spans="1:2" x14ac:dyDescent="0.35">
      <c r="A26" s="13">
        <v>43739</v>
      </c>
      <c r="B26" s="16">
        <v>0.31</v>
      </c>
    </row>
    <row r="27" spans="1:2" x14ac:dyDescent="0.35">
      <c r="A27" s="13">
        <v>43770</v>
      </c>
      <c r="B27" s="16">
        <v>0.31</v>
      </c>
    </row>
    <row r="28" spans="1:2" x14ac:dyDescent="0.35">
      <c r="A28" s="13">
        <v>43800</v>
      </c>
      <c r="B28" s="16">
        <v>0.31</v>
      </c>
    </row>
    <row r="29" spans="1:2" x14ac:dyDescent="0.35">
      <c r="A29" s="13">
        <v>43831</v>
      </c>
      <c r="B29" s="16">
        <v>0.3</v>
      </c>
    </row>
    <row r="30" spans="1:2" x14ac:dyDescent="0.35">
      <c r="A30" s="13">
        <v>43862</v>
      </c>
      <c r="B30" s="16">
        <v>0.26</v>
      </c>
    </row>
    <row r="31" spans="1:2" x14ac:dyDescent="0.35">
      <c r="A31" s="13">
        <v>43891</v>
      </c>
      <c r="B31" s="16">
        <v>0.22</v>
      </c>
    </row>
    <row r="32" spans="1:2" x14ac:dyDescent="0.35">
      <c r="A32" s="13">
        <v>43922</v>
      </c>
      <c r="B32" s="16">
        <v>0.17</v>
      </c>
    </row>
    <row r="33" spans="1:2" x14ac:dyDescent="0.35">
      <c r="A33" s="13">
        <v>43952</v>
      </c>
      <c r="B33" s="16">
        <v>0.16</v>
      </c>
    </row>
    <row r="34" spans="1:2" x14ac:dyDescent="0.35">
      <c r="A34" s="13">
        <v>43983</v>
      </c>
      <c r="B34" s="16">
        <v>0.17</v>
      </c>
    </row>
    <row r="35" spans="1:2" x14ac:dyDescent="0.35">
      <c r="A35" s="13">
        <v>44013</v>
      </c>
      <c r="B35" s="16">
        <v>0.19</v>
      </c>
    </row>
    <row r="36" spans="1:2" x14ac:dyDescent="0.35">
      <c r="A36" s="13">
        <v>44044</v>
      </c>
      <c r="B36" s="16">
        <v>0.22</v>
      </c>
    </row>
    <row r="37" spans="1:2" x14ac:dyDescent="0.35">
      <c r="A37" s="13">
        <v>44075</v>
      </c>
      <c r="B37" s="16">
        <v>0.24</v>
      </c>
    </row>
    <row r="38" spans="1:2" x14ac:dyDescent="0.35">
      <c r="A38" s="13">
        <v>44105</v>
      </c>
      <c r="B38" s="16">
        <v>0.27</v>
      </c>
    </row>
    <row r="39" spans="1:2" x14ac:dyDescent="0.35">
      <c r="A39" s="13">
        <v>44136</v>
      </c>
      <c r="B39" s="16">
        <v>0.3</v>
      </c>
    </row>
    <row r="40" spans="1:2" x14ac:dyDescent="0.35">
      <c r="A40" s="13">
        <v>44166</v>
      </c>
      <c r="B40" s="16">
        <v>0.4</v>
      </c>
    </row>
    <row r="41" spans="1:2" x14ac:dyDescent="0.35">
      <c r="A41" s="13">
        <v>44197</v>
      </c>
      <c r="B41" s="16">
        <v>0.4</v>
      </c>
    </row>
    <row r="42" spans="1:2" x14ac:dyDescent="0.35">
      <c r="A42" s="13">
        <v>44228</v>
      </c>
      <c r="B42" s="16">
        <v>0.41</v>
      </c>
    </row>
    <row r="43" spans="1:2" x14ac:dyDescent="0.35">
      <c r="A43" s="13">
        <v>44256</v>
      </c>
      <c r="B43" s="16">
        <v>0.38</v>
      </c>
    </row>
    <row r="44" spans="1:2" x14ac:dyDescent="0.35">
      <c r="A44" s="13">
        <v>44287</v>
      </c>
      <c r="B44" s="16">
        <v>0.38</v>
      </c>
    </row>
    <row r="45" spans="1:2" x14ac:dyDescent="0.35">
      <c r="A45" s="13">
        <v>44317</v>
      </c>
      <c r="B45" s="16">
        <v>0.37</v>
      </c>
    </row>
    <row r="46" spans="1:2" x14ac:dyDescent="0.35">
      <c r="A46" s="13">
        <v>44348</v>
      </c>
      <c r="B46" s="16">
        <v>0.37</v>
      </c>
    </row>
    <row r="47" spans="1:2" x14ac:dyDescent="0.35">
      <c r="A47" s="13">
        <v>44378</v>
      </c>
      <c r="B47" s="16">
        <v>0.39</v>
      </c>
    </row>
    <row r="48" spans="1:2" x14ac:dyDescent="0.35">
      <c r="A48" s="13">
        <v>44409</v>
      </c>
      <c r="B48" s="16">
        <v>0.46</v>
      </c>
    </row>
    <row r="49" spans="1:2" x14ac:dyDescent="0.35">
      <c r="A49" s="13">
        <v>44440</v>
      </c>
      <c r="B49" s="16">
        <v>0.44</v>
      </c>
    </row>
    <row r="50" spans="1:2" x14ac:dyDescent="0.35">
      <c r="A50" s="13">
        <v>44470</v>
      </c>
      <c r="B50" s="16">
        <v>0.51</v>
      </c>
    </row>
    <row r="51" spans="1:2" x14ac:dyDescent="0.35">
      <c r="A51" s="13">
        <v>44501</v>
      </c>
      <c r="B51" s="16">
        <v>0.45</v>
      </c>
    </row>
    <row r="52" spans="1:2" x14ac:dyDescent="0.35">
      <c r="A52" s="13">
        <v>44531</v>
      </c>
      <c r="B52" s="16">
        <v>0.41</v>
      </c>
    </row>
    <row r="53" spans="1:2" x14ac:dyDescent="0.35">
      <c r="A53" s="13">
        <v>44562</v>
      </c>
      <c r="B53" s="16">
        <v>0.43</v>
      </c>
    </row>
    <row r="54" spans="1:2" x14ac:dyDescent="0.35">
      <c r="A54" s="13">
        <v>44593</v>
      </c>
      <c r="B54" s="16">
        <v>0.41</v>
      </c>
    </row>
    <row r="55" spans="1:2" x14ac:dyDescent="0.35">
      <c r="A55" s="13">
        <v>44621</v>
      </c>
      <c r="B55" s="16">
        <v>0.45</v>
      </c>
    </row>
    <row r="56" spans="1:2" x14ac:dyDescent="0.35">
      <c r="A56" s="13">
        <v>44652</v>
      </c>
      <c r="B56" s="16">
        <v>0.39</v>
      </c>
    </row>
    <row r="57" spans="1:2" x14ac:dyDescent="0.35">
      <c r="A57" s="13">
        <v>44682</v>
      </c>
      <c r="B57" s="16">
        <v>0.38</v>
      </c>
    </row>
    <row r="58" spans="1:2" x14ac:dyDescent="0.35">
      <c r="A58" s="13">
        <v>44713</v>
      </c>
      <c r="B58" s="16">
        <v>0.39</v>
      </c>
    </row>
    <row r="59" spans="1:2" x14ac:dyDescent="0.35">
      <c r="A59" s="13">
        <v>44743</v>
      </c>
      <c r="B59" s="16">
        <v>0.37</v>
      </c>
    </row>
    <row r="60" spans="1:2" x14ac:dyDescent="0.35">
      <c r="A60" s="13">
        <v>44774</v>
      </c>
      <c r="B60" s="16">
        <v>0.37</v>
      </c>
    </row>
    <row r="61" spans="1:2" x14ac:dyDescent="0.35">
      <c r="A61" s="13">
        <v>44805</v>
      </c>
      <c r="B61" s="16">
        <v>0.37</v>
      </c>
    </row>
    <row r="62" spans="1:2" x14ac:dyDescent="0.35">
      <c r="A62" s="13">
        <v>44835</v>
      </c>
      <c r="B62" s="16">
        <v>0.35</v>
      </c>
    </row>
    <row r="63" spans="1:2" x14ac:dyDescent="0.35">
      <c r="A63" s="13">
        <v>44866</v>
      </c>
      <c r="B63" s="16">
        <v>0.33</v>
      </c>
    </row>
    <row r="64" spans="1:2" x14ac:dyDescent="0.35">
      <c r="A64" s="13">
        <v>44896</v>
      </c>
      <c r="B64" s="16">
        <v>0.33</v>
      </c>
    </row>
    <row r="65" spans="1:2" x14ac:dyDescent="0.35">
      <c r="A65" s="13">
        <v>44927</v>
      </c>
      <c r="B65" s="16">
        <v>0.34</v>
      </c>
    </row>
    <row r="66" spans="1:2" x14ac:dyDescent="0.35">
      <c r="A66" s="13">
        <v>44958</v>
      </c>
      <c r="B66" s="16">
        <v>0.36</v>
      </c>
    </row>
    <row r="67" spans="1:2" x14ac:dyDescent="0.35">
      <c r="A67" s="13">
        <v>44986</v>
      </c>
      <c r="B67" s="16">
        <v>0.36</v>
      </c>
    </row>
    <row r="68" spans="1:2" x14ac:dyDescent="0.35">
      <c r="A68" s="13">
        <v>45017</v>
      </c>
      <c r="B68" s="16">
        <v>0.32</v>
      </c>
    </row>
    <row r="69" spans="1:2" x14ac:dyDescent="0.35">
      <c r="A69" s="13">
        <v>45047</v>
      </c>
      <c r="B69" s="16">
        <v>0.28999999999999998</v>
      </c>
    </row>
    <row r="70" spans="1:2" x14ac:dyDescent="0.35">
      <c r="A70" s="13">
        <v>45078</v>
      </c>
      <c r="B70" s="16">
        <v>0.26</v>
      </c>
    </row>
    <row r="71" spans="1:2" x14ac:dyDescent="0.35">
      <c r="A71" s="13">
        <v>45108</v>
      </c>
      <c r="B71" s="16">
        <v>0.22</v>
      </c>
    </row>
    <row r="72" spans="1:2" x14ac:dyDescent="0.35">
      <c r="A72" s="13">
        <v>45139</v>
      </c>
      <c r="B72" s="16">
        <v>0.25</v>
      </c>
    </row>
    <row r="73" spans="1:2" x14ac:dyDescent="0.35">
      <c r="A73" s="13">
        <v>45170</v>
      </c>
      <c r="B73" s="16">
        <v>0.26</v>
      </c>
    </row>
    <row r="74" spans="1:2" x14ac:dyDescent="0.35">
      <c r="A74" s="13">
        <v>45200</v>
      </c>
      <c r="B74" s="16">
        <v>0.3</v>
      </c>
    </row>
    <row r="75" spans="1:2" x14ac:dyDescent="0.35">
      <c r="A75" s="13">
        <v>45231</v>
      </c>
      <c r="B75" s="16">
        <v>0.36</v>
      </c>
    </row>
    <row r="76" spans="1:2" x14ac:dyDescent="0.35">
      <c r="A76" s="13">
        <v>45261</v>
      </c>
      <c r="B76" s="16">
        <v>0.35</v>
      </c>
    </row>
    <row r="77" spans="1:2" x14ac:dyDescent="0.35">
      <c r="A77" s="13">
        <v>45292</v>
      </c>
      <c r="B77" s="16">
        <v>0.3</v>
      </c>
    </row>
    <row r="78" spans="1:2" x14ac:dyDescent="0.35">
      <c r="A78" s="13">
        <v>45323</v>
      </c>
      <c r="B78" s="16">
        <v>0.3</v>
      </c>
    </row>
    <row r="79" spans="1:2" x14ac:dyDescent="0.35">
      <c r="A79" s="13">
        <v>45352</v>
      </c>
      <c r="B79" s="16">
        <v>0.34</v>
      </c>
    </row>
    <row r="80" spans="1:2" x14ac:dyDescent="0.35">
      <c r="A80" s="13">
        <v>45383</v>
      </c>
      <c r="B80" s="16">
        <v>0.32</v>
      </c>
    </row>
    <row r="81" spans="1:2" x14ac:dyDescent="0.35">
      <c r="A81" s="13">
        <v>45413</v>
      </c>
      <c r="B81" s="16">
        <v>0.33</v>
      </c>
    </row>
    <row r="82" spans="1:2" x14ac:dyDescent="0.35">
      <c r="A82" s="13">
        <v>45444</v>
      </c>
      <c r="B82" s="16">
        <v>0.35</v>
      </c>
    </row>
    <row r="83" spans="1:2" x14ac:dyDescent="0.35">
      <c r="A83" s="13">
        <v>45474</v>
      </c>
      <c r="B83" s="16">
        <v>0.35</v>
      </c>
    </row>
    <row r="84" spans="1:2" x14ac:dyDescent="0.35">
      <c r="A84" s="13">
        <v>45505</v>
      </c>
      <c r="B84" s="58">
        <v>0.35</v>
      </c>
    </row>
    <row r="85" spans="1:2" x14ac:dyDescent="0.35">
      <c r="A85" s="13">
        <v>45536</v>
      </c>
      <c r="B85" s="58">
        <v>0.34</v>
      </c>
    </row>
    <row r="86" spans="1:2" x14ac:dyDescent="0.35">
      <c r="A86" s="13">
        <v>45566</v>
      </c>
      <c r="B86" s="58">
        <v>0.34</v>
      </c>
    </row>
    <row r="87" spans="1:2" x14ac:dyDescent="0.35">
      <c r="A87" s="13">
        <v>45597</v>
      </c>
      <c r="B87" s="58">
        <v>0.34</v>
      </c>
    </row>
    <row r="88" spans="1:2" x14ac:dyDescent="0.35">
      <c r="A88" s="13">
        <v>45627</v>
      </c>
      <c r="B88" s="58">
        <v>0.36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EB56-21A1-42FD-88BB-47A1DD7679D6}">
  <dimension ref="A3:D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3" spans="1:4" x14ac:dyDescent="0.35">
      <c r="C3" s="45"/>
      <c r="D3" s="45"/>
    </row>
    <row r="4" spans="1:4" x14ac:dyDescent="0.35">
      <c r="A4" s="14" t="s">
        <v>55</v>
      </c>
      <c r="B4" s="15" t="s">
        <v>194</v>
      </c>
    </row>
    <row r="5" spans="1:4" x14ac:dyDescent="0.35">
      <c r="A5" s="13">
        <v>43101</v>
      </c>
      <c r="B5" s="16">
        <v>0.79</v>
      </c>
    </row>
    <row r="6" spans="1:4" x14ac:dyDescent="0.35">
      <c r="A6" s="13">
        <v>43132</v>
      </c>
      <c r="B6" s="16">
        <v>0.79</v>
      </c>
    </row>
    <row r="7" spans="1:4" x14ac:dyDescent="0.35">
      <c r="A7" s="13">
        <v>43160</v>
      </c>
      <c r="B7" s="16">
        <v>0.82</v>
      </c>
    </row>
    <row r="8" spans="1:4" x14ac:dyDescent="0.35">
      <c r="A8" s="13">
        <v>43191</v>
      </c>
      <c r="B8" s="16">
        <v>0.83</v>
      </c>
    </row>
    <row r="9" spans="1:4" x14ac:dyDescent="0.35">
      <c r="A9" s="13">
        <v>43221</v>
      </c>
      <c r="B9" s="16">
        <v>0.83</v>
      </c>
    </row>
    <row r="10" spans="1:4" x14ac:dyDescent="0.35">
      <c r="A10" s="13">
        <v>43252</v>
      </c>
      <c r="B10" s="16">
        <v>0.84</v>
      </c>
    </row>
    <row r="11" spans="1:4" x14ac:dyDescent="0.35">
      <c r="A11" s="13">
        <v>43282</v>
      </c>
      <c r="B11" s="16">
        <v>0.85</v>
      </c>
    </row>
    <row r="12" spans="1:4" x14ac:dyDescent="0.35">
      <c r="A12" s="13">
        <v>43313</v>
      </c>
      <c r="B12" s="16">
        <v>0.84</v>
      </c>
    </row>
    <row r="13" spans="1:4" x14ac:dyDescent="0.35">
      <c r="A13" s="13">
        <v>43344</v>
      </c>
      <c r="B13" s="16">
        <v>0.84</v>
      </c>
    </row>
    <row r="14" spans="1:4" x14ac:dyDescent="0.35">
      <c r="A14" s="13">
        <v>43374</v>
      </c>
      <c r="B14" s="16">
        <v>0.85</v>
      </c>
    </row>
    <row r="15" spans="1:4" x14ac:dyDescent="0.35">
      <c r="A15" s="13">
        <v>43405</v>
      </c>
      <c r="B15" s="16">
        <v>0.87</v>
      </c>
    </row>
    <row r="16" spans="1:4" x14ac:dyDescent="0.35">
      <c r="A16" s="13">
        <v>43435</v>
      </c>
      <c r="B16" s="16">
        <v>0.89</v>
      </c>
    </row>
    <row r="17" spans="1:2" x14ac:dyDescent="0.35">
      <c r="A17" s="13">
        <v>43466</v>
      </c>
      <c r="B17" s="16">
        <v>0.88</v>
      </c>
    </row>
    <row r="18" spans="1:2" x14ac:dyDescent="0.35">
      <c r="A18" s="13">
        <v>43497</v>
      </c>
      <c r="B18" s="16">
        <v>0.86</v>
      </c>
    </row>
    <row r="19" spans="1:2" x14ac:dyDescent="0.35">
      <c r="A19" s="13">
        <v>43525</v>
      </c>
      <c r="B19" s="16">
        <v>0.85</v>
      </c>
    </row>
    <row r="20" spans="1:2" x14ac:dyDescent="0.35">
      <c r="A20" s="13">
        <v>43556</v>
      </c>
      <c r="B20" s="16">
        <v>0.86</v>
      </c>
    </row>
    <row r="21" spans="1:2" x14ac:dyDescent="0.35">
      <c r="A21" s="13">
        <v>43586</v>
      </c>
      <c r="B21" s="16">
        <v>0.86</v>
      </c>
    </row>
    <row r="22" spans="1:2" x14ac:dyDescent="0.35">
      <c r="A22" s="13">
        <v>43617</v>
      </c>
      <c r="B22" s="16">
        <v>0.87</v>
      </c>
    </row>
    <row r="23" spans="1:2" x14ac:dyDescent="0.35">
      <c r="A23" s="13">
        <v>43647</v>
      </c>
      <c r="B23" s="16">
        <v>0.85</v>
      </c>
    </row>
    <row r="24" spans="1:2" x14ac:dyDescent="0.35">
      <c r="A24" s="13">
        <v>43678</v>
      </c>
      <c r="B24" s="16">
        <v>0.84</v>
      </c>
    </row>
    <row r="25" spans="1:2" x14ac:dyDescent="0.35">
      <c r="A25" s="13">
        <v>43709</v>
      </c>
      <c r="B25" s="16">
        <v>0.84</v>
      </c>
    </row>
    <row r="26" spans="1:2" x14ac:dyDescent="0.35">
      <c r="A26" s="13">
        <v>43739</v>
      </c>
      <c r="B26" s="16">
        <v>0.86</v>
      </c>
    </row>
    <row r="27" spans="1:2" x14ac:dyDescent="0.35">
      <c r="A27" s="13">
        <v>43770</v>
      </c>
      <c r="B27" s="16">
        <v>0.86</v>
      </c>
    </row>
    <row r="28" spans="1:2" x14ac:dyDescent="0.35">
      <c r="A28" s="13">
        <v>43800</v>
      </c>
      <c r="B28" s="16">
        <v>0.87</v>
      </c>
    </row>
    <row r="29" spans="1:2" x14ac:dyDescent="0.35">
      <c r="A29" s="13">
        <v>43831</v>
      </c>
      <c r="B29" s="16">
        <v>0.87</v>
      </c>
    </row>
    <row r="30" spans="1:2" x14ac:dyDescent="0.35">
      <c r="A30" s="13">
        <v>43862</v>
      </c>
      <c r="B30" s="16">
        <v>0.81</v>
      </c>
    </row>
    <row r="31" spans="1:2" x14ac:dyDescent="0.35">
      <c r="A31" s="13">
        <v>43891</v>
      </c>
      <c r="B31" s="16">
        <v>0.79</v>
      </c>
    </row>
    <row r="32" spans="1:2" x14ac:dyDescent="0.35">
      <c r="A32" s="13">
        <v>43922</v>
      </c>
      <c r="B32" s="16">
        <v>0.75</v>
      </c>
    </row>
    <row r="33" spans="1:2" x14ac:dyDescent="0.35">
      <c r="A33" s="13">
        <v>43952</v>
      </c>
      <c r="B33" s="16">
        <v>0.75</v>
      </c>
    </row>
    <row r="34" spans="1:2" x14ac:dyDescent="0.35">
      <c r="A34" s="13">
        <v>43983</v>
      </c>
      <c r="B34" s="16">
        <v>0.79</v>
      </c>
    </row>
    <row r="35" spans="1:2" x14ac:dyDescent="0.35">
      <c r="A35" s="13">
        <v>44013</v>
      </c>
      <c r="B35" s="16">
        <v>0.81</v>
      </c>
    </row>
    <row r="36" spans="1:2" x14ac:dyDescent="0.35">
      <c r="A36" s="13">
        <v>44044</v>
      </c>
      <c r="B36" s="16">
        <v>0.82</v>
      </c>
    </row>
    <row r="37" spans="1:2" x14ac:dyDescent="0.35">
      <c r="A37" s="13">
        <v>44075</v>
      </c>
      <c r="B37" s="16">
        <v>0.82</v>
      </c>
    </row>
    <row r="38" spans="1:2" x14ac:dyDescent="0.35">
      <c r="A38" s="13">
        <v>44105</v>
      </c>
      <c r="B38" s="16">
        <v>0.81</v>
      </c>
    </row>
    <row r="39" spans="1:2" x14ac:dyDescent="0.35">
      <c r="A39" s="13">
        <v>44136</v>
      </c>
      <c r="B39" s="16">
        <v>0.82</v>
      </c>
    </row>
    <row r="40" spans="1:2" x14ac:dyDescent="0.35">
      <c r="A40" s="13">
        <v>44166</v>
      </c>
      <c r="B40" s="16">
        <v>0.85</v>
      </c>
    </row>
    <row r="41" spans="1:2" x14ac:dyDescent="0.35">
      <c r="A41" s="13">
        <v>44197</v>
      </c>
      <c r="B41" s="16">
        <v>0.87</v>
      </c>
    </row>
    <row r="42" spans="1:2" x14ac:dyDescent="0.35">
      <c r="A42" s="13">
        <v>44228</v>
      </c>
      <c r="B42" s="16">
        <v>0.89</v>
      </c>
    </row>
    <row r="43" spans="1:2" x14ac:dyDescent="0.35">
      <c r="A43" s="13">
        <v>44256</v>
      </c>
      <c r="B43" s="16">
        <v>0.9</v>
      </c>
    </row>
    <row r="44" spans="1:2" x14ac:dyDescent="0.35">
      <c r="A44" s="13">
        <v>44287</v>
      </c>
      <c r="B44" s="16">
        <v>0.92</v>
      </c>
    </row>
    <row r="45" spans="1:2" x14ac:dyDescent="0.35">
      <c r="A45" s="13">
        <v>44317</v>
      </c>
      <c r="B45" s="16">
        <v>0.94</v>
      </c>
    </row>
    <row r="46" spans="1:2" x14ac:dyDescent="0.35">
      <c r="A46" s="13">
        <v>44348</v>
      </c>
      <c r="B46" s="16">
        <v>0.94</v>
      </c>
    </row>
    <row r="47" spans="1:2" x14ac:dyDescent="0.35">
      <c r="A47" s="13">
        <v>44378</v>
      </c>
      <c r="B47" s="16">
        <v>0.93</v>
      </c>
    </row>
    <row r="48" spans="1:2" x14ac:dyDescent="0.35">
      <c r="A48" s="13">
        <v>44409</v>
      </c>
      <c r="B48" s="16">
        <v>0.98</v>
      </c>
    </row>
    <row r="49" spans="1:2" x14ac:dyDescent="0.35">
      <c r="A49" s="13">
        <v>44440</v>
      </c>
      <c r="B49" s="16">
        <v>1.03</v>
      </c>
    </row>
    <row r="50" spans="1:2" x14ac:dyDescent="0.35">
      <c r="A50" s="13">
        <v>44470</v>
      </c>
      <c r="B50" s="16">
        <v>1.07</v>
      </c>
    </row>
    <row r="51" spans="1:2" x14ac:dyDescent="0.35">
      <c r="A51" s="13">
        <v>44501</v>
      </c>
      <c r="B51" s="16">
        <v>1.1000000000000001</v>
      </c>
    </row>
    <row r="52" spans="1:2" x14ac:dyDescent="0.35">
      <c r="A52" s="13">
        <v>44531</v>
      </c>
      <c r="B52" s="16">
        <v>1.1399999999999999</v>
      </c>
    </row>
    <row r="53" spans="1:2" x14ac:dyDescent="0.35">
      <c r="A53" s="13">
        <v>44562</v>
      </c>
      <c r="B53" s="16">
        <v>1.2</v>
      </c>
    </row>
    <row r="54" spans="1:2" x14ac:dyDescent="0.35">
      <c r="A54" s="13">
        <v>44593</v>
      </c>
      <c r="B54" s="16">
        <v>1.24</v>
      </c>
    </row>
    <row r="55" spans="1:2" x14ac:dyDescent="0.35">
      <c r="A55" s="13">
        <v>44621</v>
      </c>
      <c r="B55" s="16">
        <v>1.24</v>
      </c>
    </row>
    <row r="56" spans="1:2" x14ac:dyDescent="0.35">
      <c r="A56" s="13">
        <v>44652</v>
      </c>
      <c r="B56" s="16">
        <v>1.24</v>
      </c>
    </row>
    <row r="57" spans="1:2" x14ac:dyDescent="0.35">
      <c r="A57" s="13">
        <v>44682</v>
      </c>
      <c r="B57" s="16">
        <v>1.25</v>
      </c>
    </row>
    <row r="58" spans="1:2" x14ac:dyDescent="0.35">
      <c r="A58" s="13">
        <v>44713</v>
      </c>
      <c r="B58" s="16">
        <v>1.21</v>
      </c>
    </row>
    <row r="59" spans="1:2" x14ac:dyDescent="0.35">
      <c r="A59" s="13">
        <v>44743</v>
      </c>
      <c r="B59" s="16">
        <v>1.1100000000000001</v>
      </c>
    </row>
    <row r="60" spans="1:2" x14ac:dyDescent="0.35">
      <c r="A60" s="13">
        <v>44774</v>
      </c>
      <c r="B60" s="16">
        <v>1.03</v>
      </c>
    </row>
    <row r="61" spans="1:2" x14ac:dyDescent="0.35">
      <c r="A61" s="13">
        <v>44805</v>
      </c>
      <c r="B61" s="16">
        <v>1.07</v>
      </c>
    </row>
    <row r="62" spans="1:2" x14ac:dyDescent="0.35">
      <c r="A62" s="13">
        <v>44835</v>
      </c>
      <c r="B62" s="16">
        <v>0.95</v>
      </c>
    </row>
    <row r="63" spans="1:2" x14ac:dyDescent="0.35">
      <c r="A63" s="13">
        <v>44866</v>
      </c>
      <c r="B63" s="16">
        <v>0.99</v>
      </c>
    </row>
    <row r="64" spans="1:2" x14ac:dyDescent="0.35">
      <c r="A64" s="13">
        <v>44896</v>
      </c>
      <c r="B64" s="16">
        <v>0.99</v>
      </c>
    </row>
    <row r="65" spans="1:2" x14ac:dyDescent="0.35">
      <c r="A65" s="13">
        <v>44927</v>
      </c>
      <c r="B65" s="16">
        <v>1.06</v>
      </c>
    </row>
    <row r="66" spans="1:2" x14ac:dyDescent="0.35">
      <c r="A66" s="13">
        <v>44958</v>
      </c>
      <c r="B66" s="16">
        <v>1.0900000000000001</v>
      </c>
    </row>
    <row r="67" spans="1:2" x14ac:dyDescent="0.35">
      <c r="A67" s="13">
        <v>44986</v>
      </c>
      <c r="B67" s="16">
        <v>1.07</v>
      </c>
    </row>
    <row r="68" spans="1:2" x14ac:dyDescent="0.35">
      <c r="A68" s="13">
        <v>45017</v>
      </c>
      <c r="B68" s="16">
        <v>1.03</v>
      </c>
    </row>
    <row r="69" spans="1:2" x14ac:dyDescent="0.35">
      <c r="A69" s="13">
        <v>45047</v>
      </c>
      <c r="B69" s="16">
        <v>1.01</v>
      </c>
    </row>
    <row r="70" spans="1:2" x14ac:dyDescent="0.35">
      <c r="A70" s="13">
        <v>45078</v>
      </c>
      <c r="B70" s="16">
        <v>0.94</v>
      </c>
    </row>
    <row r="71" spans="1:2" x14ac:dyDescent="0.35">
      <c r="A71" s="13">
        <v>45108</v>
      </c>
      <c r="B71" s="16">
        <v>0.95</v>
      </c>
    </row>
    <row r="72" spans="1:2" x14ac:dyDescent="0.35">
      <c r="A72" s="13">
        <v>45139</v>
      </c>
      <c r="B72" s="16">
        <v>0.93</v>
      </c>
    </row>
    <row r="73" spans="1:2" x14ac:dyDescent="0.35">
      <c r="A73" s="13">
        <v>45170</v>
      </c>
      <c r="B73" s="16">
        <v>0.92</v>
      </c>
    </row>
    <row r="74" spans="1:2" x14ac:dyDescent="0.35">
      <c r="A74" s="13">
        <v>45200</v>
      </c>
      <c r="B74" s="16">
        <v>0.93</v>
      </c>
    </row>
    <row r="75" spans="1:2" x14ac:dyDescent="0.35">
      <c r="A75" s="13">
        <v>45231</v>
      </c>
      <c r="B75" s="16">
        <v>0.93</v>
      </c>
    </row>
    <row r="76" spans="1:2" x14ac:dyDescent="0.35">
      <c r="A76" s="13">
        <v>45261</v>
      </c>
      <c r="B76" s="16">
        <v>0.94</v>
      </c>
    </row>
    <row r="77" spans="1:2" x14ac:dyDescent="0.35">
      <c r="A77" s="13">
        <v>45292</v>
      </c>
      <c r="B77" s="16">
        <v>0.98</v>
      </c>
    </row>
    <row r="78" spans="1:2" x14ac:dyDescent="0.35">
      <c r="A78" s="13">
        <v>45323</v>
      </c>
      <c r="B78" s="16">
        <v>1</v>
      </c>
    </row>
    <row r="79" spans="1:2" x14ac:dyDescent="0.35">
      <c r="A79" s="13">
        <v>45352</v>
      </c>
      <c r="B79" s="16">
        <v>0.97</v>
      </c>
    </row>
    <row r="80" spans="1:2" x14ac:dyDescent="0.35">
      <c r="A80" s="13">
        <v>45383</v>
      </c>
      <c r="B80" s="16">
        <v>0.93</v>
      </c>
    </row>
    <row r="81" spans="1:2" x14ac:dyDescent="0.35">
      <c r="A81" s="13">
        <v>45413</v>
      </c>
      <c r="B81" s="16">
        <v>0.9</v>
      </c>
    </row>
    <row r="82" spans="1:2" x14ac:dyDescent="0.35">
      <c r="A82" s="13">
        <v>45444</v>
      </c>
      <c r="B82" s="16">
        <v>0.86</v>
      </c>
    </row>
    <row r="83" spans="1:2" x14ac:dyDescent="0.35">
      <c r="A83" s="13">
        <v>45474</v>
      </c>
      <c r="B83" s="16">
        <v>0.82</v>
      </c>
    </row>
    <row r="84" spans="1:2" x14ac:dyDescent="0.35">
      <c r="A84" s="13">
        <v>45505</v>
      </c>
      <c r="B84" s="16">
        <v>0.78</v>
      </c>
    </row>
    <row r="85" spans="1:2" x14ac:dyDescent="0.35">
      <c r="A85" s="13">
        <v>45536</v>
      </c>
      <c r="B85" s="16">
        <v>0.76</v>
      </c>
    </row>
    <row r="86" spans="1:2" x14ac:dyDescent="0.35">
      <c r="A86" s="13">
        <v>45566</v>
      </c>
      <c r="B86" s="16">
        <v>0.7</v>
      </c>
    </row>
    <row r="87" spans="1:2" x14ac:dyDescent="0.35">
      <c r="A87" s="13">
        <v>45597</v>
      </c>
      <c r="B87" s="16">
        <v>0.68</v>
      </c>
    </row>
    <row r="88" spans="1:2" x14ac:dyDescent="0.35">
      <c r="A88" s="13">
        <v>45627</v>
      </c>
      <c r="B88" s="16">
        <v>0.66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4FD2-5BB1-476B-8B33-761F6DEB88D9}">
  <dimension ref="A4:B88"/>
  <sheetViews>
    <sheetView workbookViewId="0">
      <pane xSplit="1" topLeftCell="B1" activePane="topRight" state="frozen"/>
      <selection activeCell="A55" sqref="A55"/>
      <selection pane="topRight"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0.87</v>
      </c>
    </row>
    <row r="6" spans="1:2" x14ac:dyDescent="0.35">
      <c r="A6" s="13">
        <v>43132</v>
      </c>
      <c r="B6" s="16">
        <v>0.89</v>
      </c>
    </row>
    <row r="7" spans="1:2" x14ac:dyDescent="0.35">
      <c r="A7" s="13">
        <v>43160</v>
      </c>
      <c r="B7" s="16">
        <v>0.95</v>
      </c>
    </row>
    <row r="8" spans="1:2" x14ac:dyDescent="0.35">
      <c r="A8" s="13">
        <v>43191</v>
      </c>
      <c r="B8" s="16">
        <v>0.95</v>
      </c>
    </row>
    <row r="9" spans="1:2" x14ac:dyDescent="0.35">
      <c r="A9" s="13">
        <v>43221</v>
      </c>
      <c r="B9" s="16">
        <v>0.93</v>
      </c>
    </row>
    <row r="10" spans="1:2" x14ac:dyDescent="0.35">
      <c r="A10" s="13">
        <v>43252</v>
      </c>
      <c r="B10" s="16">
        <v>0.97</v>
      </c>
    </row>
    <row r="11" spans="1:2" x14ac:dyDescent="0.35">
      <c r="A11" s="13">
        <v>43282</v>
      </c>
      <c r="B11" s="16">
        <v>0.98</v>
      </c>
    </row>
    <row r="12" spans="1:2" x14ac:dyDescent="0.35">
      <c r="A12" s="13">
        <v>43313</v>
      </c>
      <c r="B12" s="16">
        <v>0.99</v>
      </c>
    </row>
    <row r="13" spans="1:2" x14ac:dyDescent="0.35">
      <c r="A13" s="13">
        <v>43344</v>
      </c>
      <c r="B13" s="16">
        <v>1.01</v>
      </c>
    </row>
    <row r="14" spans="1:2" x14ac:dyDescent="0.35">
      <c r="A14" s="13">
        <v>43374</v>
      </c>
      <c r="B14" s="16">
        <v>1.01</v>
      </c>
    </row>
    <row r="15" spans="1:2" x14ac:dyDescent="0.35">
      <c r="A15" s="13">
        <v>43405</v>
      </c>
      <c r="B15" s="16">
        <v>0.99</v>
      </c>
    </row>
    <row r="16" spans="1:2" x14ac:dyDescent="0.35">
      <c r="A16" s="13">
        <v>43435</v>
      </c>
      <c r="B16" s="16">
        <v>0.98</v>
      </c>
    </row>
    <row r="17" spans="1:2" x14ac:dyDescent="0.35">
      <c r="A17" s="13">
        <v>43466</v>
      </c>
      <c r="B17" s="16">
        <v>0.96</v>
      </c>
    </row>
    <row r="18" spans="1:2" x14ac:dyDescent="0.35">
      <c r="A18" s="13">
        <v>43497</v>
      </c>
      <c r="B18" s="16">
        <v>0.96</v>
      </c>
    </row>
    <row r="19" spans="1:2" x14ac:dyDescent="0.35">
      <c r="A19" s="13">
        <v>43525</v>
      </c>
      <c r="B19" s="16">
        <v>0.93</v>
      </c>
    </row>
    <row r="20" spans="1:2" x14ac:dyDescent="0.35">
      <c r="A20" s="13">
        <v>43556</v>
      </c>
      <c r="B20" s="16">
        <v>0.92</v>
      </c>
    </row>
    <row r="21" spans="1:2" x14ac:dyDescent="0.35">
      <c r="A21" s="13">
        <v>43586</v>
      </c>
      <c r="B21" s="16">
        <v>0.9</v>
      </c>
    </row>
    <row r="22" spans="1:2" x14ac:dyDescent="0.35">
      <c r="A22" s="13">
        <v>43617</v>
      </c>
      <c r="B22" s="16">
        <v>0.88</v>
      </c>
    </row>
    <row r="23" spans="1:2" x14ac:dyDescent="0.35">
      <c r="A23" s="13">
        <v>43647</v>
      </c>
      <c r="B23" s="16">
        <v>0.86</v>
      </c>
    </row>
    <row r="24" spans="1:2" x14ac:dyDescent="0.35">
      <c r="A24" s="13">
        <v>43678</v>
      </c>
      <c r="B24" s="16">
        <v>0.84</v>
      </c>
    </row>
    <row r="25" spans="1:2" x14ac:dyDescent="0.35">
      <c r="A25" s="13">
        <v>43709</v>
      </c>
      <c r="B25" s="16">
        <v>0.82</v>
      </c>
    </row>
    <row r="26" spans="1:2" x14ac:dyDescent="0.35">
      <c r="A26" s="13">
        <v>43739</v>
      </c>
      <c r="B26" s="16">
        <v>0.8</v>
      </c>
    </row>
    <row r="27" spans="1:2" x14ac:dyDescent="0.35">
      <c r="A27" s="13">
        <v>43770</v>
      </c>
      <c r="B27" s="16">
        <v>0.79</v>
      </c>
    </row>
    <row r="28" spans="1:2" x14ac:dyDescent="0.35">
      <c r="A28" s="13">
        <v>43800</v>
      </c>
      <c r="B28" s="16">
        <v>0.77</v>
      </c>
    </row>
    <row r="29" spans="1:2" x14ac:dyDescent="0.35">
      <c r="A29" s="13">
        <v>43831</v>
      </c>
      <c r="B29" s="16">
        <v>0.75</v>
      </c>
    </row>
    <row r="30" spans="1:2" x14ac:dyDescent="0.35">
      <c r="A30" s="13">
        <v>43862</v>
      </c>
      <c r="B30" s="16">
        <v>0.73</v>
      </c>
    </row>
    <row r="31" spans="1:2" x14ac:dyDescent="0.35">
      <c r="A31" s="13">
        <v>43891</v>
      </c>
      <c r="B31" s="16">
        <v>0.73</v>
      </c>
    </row>
    <row r="32" spans="1:2" x14ac:dyDescent="0.35">
      <c r="A32" s="13">
        <v>43922</v>
      </c>
      <c r="B32" s="16">
        <v>0.69</v>
      </c>
    </row>
    <row r="33" spans="1:2" x14ac:dyDescent="0.35">
      <c r="A33" s="13">
        <v>43952</v>
      </c>
      <c r="B33" s="16">
        <v>0.65</v>
      </c>
    </row>
    <row r="34" spans="1:2" x14ac:dyDescent="0.35">
      <c r="A34" s="13">
        <v>43983</v>
      </c>
      <c r="B34" s="16">
        <v>0.66</v>
      </c>
    </row>
    <row r="35" spans="1:2" x14ac:dyDescent="0.35">
      <c r="A35" s="13">
        <v>44013</v>
      </c>
      <c r="B35" s="16">
        <v>0.67</v>
      </c>
    </row>
    <row r="36" spans="1:2" x14ac:dyDescent="0.35">
      <c r="A36" s="13">
        <v>44044</v>
      </c>
      <c r="B36" s="16">
        <v>0.69</v>
      </c>
    </row>
    <row r="37" spans="1:2" x14ac:dyDescent="0.35">
      <c r="A37" s="13">
        <v>44075</v>
      </c>
      <c r="B37" s="16">
        <v>0.73</v>
      </c>
    </row>
    <row r="38" spans="1:2" x14ac:dyDescent="0.35">
      <c r="A38" s="13">
        <v>44105</v>
      </c>
      <c r="B38" s="16">
        <v>0.74</v>
      </c>
    </row>
    <row r="39" spans="1:2" x14ac:dyDescent="0.35">
      <c r="A39" s="13">
        <v>44136</v>
      </c>
      <c r="B39" s="16">
        <v>0.83</v>
      </c>
    </row>
    <row r="40" spans="1:2" x14ac:dyDescent="0.35">
      <c r="A40" s="13">
        <v>44166</v>
      </c>
      <c r="B40" s="16">
        <v>0.95</v>
      </c>
    </row>
    <row r="41" spans="1:2" x14ac:dyDescent="0.35">
      <c r="A41" s="13">
        <v>44197</v>
      </c>
      <c r="B41" s="16">
        <v>1.1200000000000001</v>
      </c>
    </row>
    <row r="42" spans="1:2" x14ac:dyDescent="0.35">
      <c r="A42" s="13">
        <v>44228</v>
      </c>
      <c r="B42" s="16">
        <v>1.26</v>
      </c>
    </row>
    <row r="43" spans="1:2" x14ac:dyDescent="0.35">
      <c r="A43" s="13">
        <v>44256</v>
      </c>
      <c r="B43" s="16">
        <v>1.48</v>
      </c>
    </row>
    <row r="44" spans="1:2" x14ac:dyDescent="0.35">
      <c r="A44" s="13">
        <v>44287</v>
      </c>
      <c r="B44" s="16">
        <v>1.61</v>
      </c>
    </row>
    <row r="45" spans="1:2" x14ac:dyDescent="0.35">
      <c r="A45" s="13">
        <v>44317</v>
      </c>
      <c r="B45" s="16">
        <v>1.79</v>
      </c>
    </row>
    <row r="46" spans="1:2" x14ac:dyDescent="0.35">
      <c r="A46" s="13">
        <v>44348</v>
      </c>
      <c r="B46" s="16">
        <v>1.85</v>
      </c>
    </row>
    <row r="47" spans="1:2" x14ac:dyDescent="0.35">
      <c r="A47" s="13">
        <v>44378</v>
      </c>
      <c r="B47" s="16">
        <v>1.89</v>
      </c>
    </row>
    <row r="48" spans="1:2" x14ac:dyDescent="0.35">
      <c r="A48" s="13">
        <v>44409</v>
      </c>
      <c r="B48" s="16">
        <v>1.97</v>
      </c>
    </row>
    <row r="49" spans="1:2" x14ac:dyDescent="0.35">
      <c r="A49" s="13">
        <v>44440</v>
      </c>
      <c r="B49" s="16">
        <v>2.0499999999999998</v>
      </c>
    </row>
    <row r="50" spans="1:2" x14ac:dyDescent="0.35">
      <c r="A50" s="13">
        <v>44470</v>
      </c>
      <c r="B50" s="16">
        <v>2.0299999999999998</v>
      </c>
    </row>
    <row r="51" spans="1:2" x14ac:dyDescent="0.35">
      <c r="A51" s="13">
        <v>44501</v>
      </c>
      <c r="B51" s="16">
        <v>1.96</v>
      </c>
    </row>
    <row r="52" spans="1:2" x14ac:dyDescent="0.35">
      <c r="A52" s="13">
        <v>44531</v>
      </c>
      <c r="B52" s="16">
        <v>1.9</v>
      </c>
    </row>
    <row r="53" spans="1:2" x14ac:dyDescent="0.35">
      <c r="A53" s="13">
        <v>44562</v>
      </c>
      <c r="B53" s="16">
        <v>1.79</v>
      </c>
    </row>
    <row r="54" spans="1:2" x14ac:dyDescent="0.35">
      <c r="A54" s="13">
        <v>44593</v>
      </c>
      <c r="B54" s="16">
        <v>1.69</v>
      </c>
    </row>
    <row r="55" spans="1:2" x14ac:dyDescent="0.35">
      <c r="A55" s="13">
        <v>44621</v>
      </c>
      <c r="B55" s="16">
        <v>1.62</v>
      </c>
    </row>
    <row r="56" spans="1:2" x14ac:dyDescent="0.35">
      <c r="A56" s="13">
        <v>44652</v>
      </c>
      <c r="B56" s="16">
        <v>1.6</v>
      </c>
    </row>
    <row r="57" spans="1:2" x14ac:dyDescent="0.35">
      <c r="A57" s="13">
        <v>44682</v>
      </c>
      <c r="B57" s="16">
        <v>1.54</v>
      </c>
    </row>
    <row r="58" spans="1:2" x14ac:dyDescent="0.35">
      <c r="A58" s="13">
        <v>44713</v>
      </c>
      <c r="B58" s="16">
        <v>1.53</v>
      </c>
    </row>
    <row r="59" spans="1:2" x14ac:dyDescent="0.35">
      <c r="A59" s="13">
        <v>44743</v>
      </c>
      <c r="B59" s="16">
        <v>1.47</v>
      </c>
    </row>
    <row r="60" spans="1:2" x14ac:dyDescent="0.35">
      <c r="A60" s="13">
        <v>44774</v>
      </c>
      <c r="B60" s="16">
        <v>1.44</v>
      </c>
    </row>
    <row r="61" spans="1:2" x14ac:dyDescent="0.35">
      <c r="A61" s="13">
        <v>44805</v>
      </c>
      <c r="B61" s="16">
        <v>1.39</v>
      </c>
    </row>
    <row r="62" spans="1:2" x14ac:dyDescent="0.35">
      <c r="A62" s="13">
        <v>44835</v>
      </c>
      <c r="B62" s="16">
        <v>1.36</v>
      </c>
    </row>
    <row r="63" spans="1:2" x14ac:dyDescent="0.35">
      <c r="A63" s="13">
        <v>44866</v>
      </c>
      <c r="B63" s="16">
        <v>1.39</v>
      </c>
    </row>
    <row r="64" spans="1:2" x14ac:dyDescent="0.35">
      <c r="A64" s="13">
        <v>44896</v>
      </c>
      <c r="B64" s="16">
        <v>1.4</v>
      </c>
    </row>
    <row r="65" spans="1:2" x14ac:dyDescent="0.35">
      <c r="A65" s="13">
        <v>44927</v>
      </c>
      <c r="B65" s="16">
        <v>1.37</v>
      </c>
    </row>
    <row r="66" spans="1:2" x14ac:dyDescent="0.35">
      <c r="A66" s="13">
        <v>44958</v>
      </c>
      <c r="B66" s="16">
        <v>1.33</v>
      </c>
    </row>
    <row r="67" spans="1:2" x14ac:dyDescent="0.35">
      <c r="A67" s="13">
        <v>44986</v>
      </c>
      <c r="B67" s="16">
        <v>1.28</v>
      </c>
    </row>
    <row r="68" spans="1:2" x14ac:dyDescent="0.35">
      <c r="A68" s="13">
        <v>45017</v>
      </c>
      <c r="B68" s="16">
        <v>1.28</v>
      </c>
    </row>
    <row r="69" spans="1:2" x14ac:dyDescent="0.35">
      <c r="A69" s="13">
        <v>45047</v>
      </c>
      <c r="B69" s="16">
        <v>1.26</v>
      </c>
    </row>
    <row r="70" spans="1:2" x14ac:dyDescent="0.35">
      <c r="A70" s="13">
        <v>45078</v>
      </c>
      <c r="B70" s="16">
        <v>1.24</v>
      </c>
    </row>
    <row r="71" spans="1:2" x14ac:dyDescent="0.35">
      <c r="A71" s="13">
        <v>45108</v>
      </c>
      <c r="B71" s="16">
        <v>1.21</v>
      </c>
    </row>
    <row r="72" spans="1:2" x14ac:dyDescent="0.35">
      <c r="A72" s="13">
        <v>45139</v>
      </c>
      <c r="B72" s="16">
        <v>1.1399999999999999</v>
      </c>
    </row>
    <row r="73" spans="1:2" x14ac:dyDescent="0.35">
      <c r="A73" s="13">
        <v>45170</v>
      </c>
      <c r="B73" s="16">
        <v>1.1100000000000001</v>
      </c>
    </row>
    <row r="74" spans="1:2" x14ac:dyDescent="0.35">
      <c r="A74" s="13">
        <v>45200</v>
      </c>
      <c r="B74" s="16">
        <v>1.08</v>
      </c>
    </row>
    <row r="75" spans="1:2" x14ac:dyDescent="0.35">
      <c r="A75" s="13">
        <v>45231</v>
      </c>
      <c r="B75" s="16">
        <v>1.1100000000000001</v>
      </c>
    </row>
    <row r="76" spans="1:2" x14ac:dyDescent="0.35">
      <c r="A76" s="13">
        <v>45261</v>
      </c>
      <c r="B76" s="16">
        <v>1.1100000000000001</v>
      </c>
    </row>
    <row r="77" spans="1:2" x14ac:dyDescent="0.35">
      <c r="A77" s="13">
        <v>45292</v>
      </c>
      <c r="B77" s="16">
        <v>1.1299999999999999</v>
      </c>
    </row>
    <row r="78" spans="1:2" x14ac:dyDescent="0.35">
      <c r="A78" s="13">
        <v>45323</v>
      </c>
      <c r="B78" s="16">
        <v>1.1399999999999999</v>
      </c>
    </row>
    <row r="79" spans="1:2" x14ac:dyDescent="0.35">
      <c r="A79" s="13">
        <v>45352</v>
      </c>
      <c r="B79" s="16">
        <v>1.17</v>
      </c>
    </row>
    <row r="80" spans="1:2" x14ac:dyDescent="0.35">
      <c r="A80" s="13">
        <v>45383</v>
      </c>
      <c r="B80" s="16">
        <v>1.2</v>
      </c>
    </row>
    <row r="81" spans="1:2" x14ac:dyDescent="0.35">
      <c r="A81" s="13">
        <v>45413</v>
      </c>
      <c r="B81" s="16">
        <v>1.24</v>
      </c>
    </row>
    <row r="82" spans="1:2" x14ac:dyDescent="0.35">
      <c r="A82" s="13">
        <v>45444</v>
      </c>
      <c r="B82" s="16">
        <v>1.29</v>
      </c>
    </row>
    <row r="83" spans="1:2" x14ac:dyDescent="0.35">
      <c r="A83" s="13">
        <v>45474</v>
      </c>
      <c r="B83" s="16">
        <v>1.31</v>
      </c>
    </row>
    <row r="84" spans="1:2" x14ac:dyDescent="0.35">
      <c r="A84" s="13">
        <v>45505</v>
      </c>
      <c r="B84" s="16">
        <v>1.34</v>
      </c>
    </row>
    <row r="85" spans="1:2" x14ac:dyDescent="0.35">
      <c r="A85" s="13">
        <v>45536</v>
      </c>
      <c r="B85" s="16">
        <v>1.35</v>
      </c>
    </row>
    <row r="86" spans="1:2" x14ac:dyDescent="0.35">
      <c r="A86" s="13">
        <v>45566</v>
      </c>
      <c r="B86" s="16">
        <v>1.33</v>
      </c>
    </row>
    <row r="87" spans="1:2" x14ac:dyDescent="0.35">
      <c r="A87" s="13">
        <v>45597</v>
      </c>
      <c r="B87" s="16">
        <v>1.28</v>
      </c>
    </row>
    <row r="88" spans="1:2" x14ac:dyDescent="0.35">
      <c r="A88" s="13">
        <v>45627</v>
      </c>
      <c r="B88" s="16">
        <v>1.28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4397-5918-45D8-9F36-247EF4D324FD}">
  <dimension ref="A4:B88"/>
  <sheetViews>
    <sheetView workbookViewId="0">
      <selection activeCell="B4" sqref="B4"/>
    </sheetView>
  </sheetViews>
  <sheetFormatPr defaultRowHeight="14.5" x14ac:dyDescent="0.35"/>
  <cols>
    <col min="2" max="2" width="15.72656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1.48</v>
      </c>
    </row>
    <row r="6" spans="1:2" x14ac:dyDescent="0.35">
      <c r="A6" s="13">
        <v>43132</v>
      </c>
      <c r="B6" s="16">
        <v>1.5</v>
      </c>
    </row>
    <row r="7" spans="1:2" x14ac:dyDescent="0.35">
      <c r="A7" s="13">
        <v>43160</v>
      </c>
      <c r="B7" s="16">
        <v>1.48</v>
      </c>
    </row>
    <row r="8" spans="1:2" x14ac:dyDescent="0.35">
      <c r="A8" s="13">
        <v>43191</v>
      </c>
      <c r="B8" s="16">
        <v>1.47</v>
      </c>
    </row>
    <row r="9" spans="1:2" x14ac:dyDescent="0.35">
      <c r="A9" s="13">
        <v>43221</v>
      </c>
      <c r="B9" s="16">
        <v>1.43</v>
      </c>
    </row>
    <row r="10" spans="1:2" x14ac:dyDescent="0.35">
      <c r="A10" s="13">
        <v>43252</v>
      </c>
      <c r="B10" s="16">
        <v>1.43</v>
      </c>
    </row>
    <row r="11" spans="1:2" x14ac:dyDescent="0.35">
      <c r="A11" s="13">
        <v>43282</v>
      </c>
      <c r="B11" s="16">
        <v>1.46</v>
      </c>
    </row>
    <row r="12" spans="1:2" x14ac:dyDescent="0.35">
      <c r="A12" s="13">
        <v>43313</v>
      </c>
      <c r="B12" s="16">
        <v>1.47</v>
      </c>
    </row>
    <row r="13" spans="1:2" x14ac:dyDescent="0.35">
      <c r="A13" s="13">
        <v>43344</v>
      </c>
      <c r="B13" s="16">
        <v>1.49</v>
      </c>
    </row>
    <row r="14" spans="1:2" x14ac:dyDescent="0.35">
      <c r="A14" s="13">
        <v>43374</v>
      </c>
      <c r="B14" s="16">
        <v>1.47</v>
      </c>
    </row>
    <row r="15" spans="1:2" x14ac:dyDescent="0.35">
      <c r="A15" s="13">
        <v>43405</v>
      </c>
      <c r="B15" s="16">
        <v>1.46</v>
      </c>
    </row>
    <row r="16" spans="1:2" x14ac:dyDescent="0.35">
      <c r="A16" s="13">
        <v>43435</v>
      </c>
      <c r="B16" s="16">
        <v>1.44</v>
      </c>
    </row>
    <row r="17" spans="1:2" x14ac:dyDescent="0.35">
      <c r="A17" s="13">
        <v>43466</v>
      </c>
      <c r="B17" s="16">
        <v>1.41</v>
      </c>
    </row>
    <row r="18" spans="1:2" x14ac:dyDescent="0.35">
      <c r="A18" s="13">
        <v>43497</v>
      </c>
      <c r="B18" s="16">
        <v>1.36</v>
      </c>
    </row>
    <row r="19" spans="1:2" x14ac:dyDescent="0.35">
      <c r="A19" s="13">
        <v>43525</v>
      </c>
      <c r="B19" s="16">
        <v>1.34</v>
      </c>
    </row>
    <row r="20" spans="1:2" x14ac:dyDescent="0.35">
      <c r="A20" s="13">
        <v>43556</v>
      </c>
      <c r="B20" s="16">
        <v>1.32</v>
      </c>
    </row>
    <row r="21" spans="1:2" x14ac:dyDescent="0.35">
      <c r="A21" s="13">
        <v>43586</v>
      </c>
      <c r="B21" s="16">
        <v>1.31</v>
      </c>
    </row>
    <row r="22" spans="1:2" x14ac:dyDescent="0.35">
      <c r="A22" s="13">
        <v>43617</v>
      </c>
      <c r="B22" s="16">
        <v>1.32</v>
      </c>
    </row>
    <row r="23" spans="1:2" x14ac:dyDescent="0.35">
      <c r="A23" s="13">
        <v>43647</v>
      </c>
      <c r="B23" s="16">
        <v>1.3</v>
      </c>
    </row>
    <row r="24" spans="1:2" x14ac:dyDescent="0.35">
      <c r="A24" s="13">
        <v>43678</v>
      </c>
      <c r="B24" s="16">
        <v>1.27</v>
      </c>
    </row>
    <row r="25" spans="1:2" x14ac:dyDescent="0.35">
      <c r="A25" s="13">
        <v>43709</v>
      </c>
      <c r="B25" s="16">
        <v>1.23</v>
      </c>
    </row>
    <row r="26" spans="1:2" x14ac:dyDescent="0.35">
      <c r="A26" s="13">
        <v>43739</v>
      </c>
      <c r="B26" s="16">
        <v>1.23</v>
      </c>
    </row>
    <row r="27" spans="1:2" x14ac:dyDescent="0.35">
      <c r="A27" s="13">
        <v>43770</v>
      </c>
      <c r="B27" s="16">
        <v>1.21</v>
      </c>
    </row>
    <row r="28" spans="1:2" x14ac:dyDescent="0.35">
      <c r="A28" s="13">
        <v>43800</v>
      </c>
      <c r="B28" s="16">
        <v>1.19</v>
      </c>
    </row>
    <row r="29" spans="1:2" x14ac:dyDescent="0.35">
      <c r="A29" s="13">
        <v>43831</v>
      </c>
      <c r="B29" s="16">
        <v>1.17</v>
      </c>
    </row>
    <row r="30" spans="1:2" x14ac:dyDescent="0.35">
      <c r="A30" s="13">
        <v>43862</v>
      </c>
      <c r="B30" s="16">
        <v>1.1499999999999999</v>
      </c>
    </row>
    <row r="31" spans="1:2" x14ac:dyDescent="0.35">
      <c r="A31" s="13">
        <v>43891</v>
      </c>
      <c r="B31" s="16">
        <v>1.17</v>
      </c>
    </row>
    <row r="32" spans="1:2" x14ac:dyDescent="0.35">
      <c r="A32" s="13">
        <v>43922</v>
      </c>
      <c r="B32" s="16">
        <v>1.1299999999999999</v>
      </c>
    </row>
    <row r="33" spans="1:2" x14ac:dyDescent="0.35">
      <c r="A33" s="13">
        <v>43952</v>
      </c>
      <c r="B33" s="16">
        <v>1.1200000000000001</v>
      </c>
    </row>
    <row r="34" spans="1:2" x14ac:dyDescent="0.35">
      <c r="A34" s="13">
        <v>43983</v>
      </c>
      <c r="B34" s="16">
        <v>1.1499999999999999</v>
      </c>
    </row>
    <row r="35" spans="1:2" x14ac:dyDescent="0.35">
      <c r="A35" s="13">
        <v>44013</v>
      </c>
      <c r="B35" s="16">
        <v>1.1499999999999999</v>
      </c>
    </row>
    <row r="36" spans="1:2" x14ac:dyDescent="0.35">
      <c r="A36" s="13">
        <v>44044</v>
      </c>
      <c r="B36" s="16">
        <v>1.18</v>
      </c>
    </row>
    <row r="37" spans="1:2" x14ac:dyDescent="0.35">
      <c r="A37" s="13">
        <v>44075</v>
      </c>
      <c r="B37" s="16">
        <v>1.19</v>
      </c>
    </row>
    <row r="38" spans="1:2" x14ac:dyDescent="0.35">
      <c r="A38" s="13">
        <v>44105</v>
      </c>
      <c r="B38" s="16">
        <v>1.21</v>
      </c>
    </row>
    <row r="39" spans="1:2" x14ac:dyDescent="0.35">
      <c r="A39" s="13">
        <v>44136</v>
      </c>
      <c r="B39" s="16">
        <v>1.23</v>
      </c>
    </row>
    <row r="40" spans="1:2" x14ac:dyDescent="0.35">
      <c r="A40" s="13">
        <v>44166</v>
      </c>
      <c r="B40" s="16">
        <v>1.28</v>
      </c>
    </row>
    <row r="41" spans="1:2" x14ac:dyDescent="0.35">
      <c r="A41" s="13">
        <v>44197</v>
      </c>
      <c r="B41" s="16">
        <v>1.33</v>
      </c>
    </row>
    <row r="42" spans="1:2" x14ac:dyDescent="0.35">
      <c r="A42" s="13">
        <v>44228</v>
      </c>
      <c r="B42" s="16">
        <v>1.36</v>
      </c>
    </row>
    <row r="43" spans="1:2" x14ac:dyDescent="0.35">
      <c r="A43" s="13">
        <v>44256</v>
      </c>
      <c r="B43" s="16">
        <v>1.43</v>
      </c>
    </row>
    <row r="44" spans="1:2" x14ac:dyDescent="0.35">
      <c r="A44" s="13">
        <v>44287</v>
      </c>
      <c r="B44" s="16">
        <v>1.48</v>
      </c>
    </row>
    <row r="45" spans="1:2" x14ac:dyDescent="0.35">
      <c r="A45" s="13">
        <v>44317</v>
      </c>
      <c r="B45" s="16">
        <v>1.55</v>
      </c>
    </row>
    <row r="46" spans="1:2" x14ac:dyDescent="0.35">
      <c r="A46" s="13">
        <v>44348</v>
      </c>
      <c r="B46" s="16">
        <v>1.54</v>
      </c>
    </row>
    <row r="47" spans="1:2" x14ac:dyDescent="0.35">
      <c r="A47" s="13">
        <v>44378</v>
      </c>
      <c r="B47" s="16">
        <v>1.49</v>
      </c>
    </row>
    <row r="48" spans="1:2" x14ac:dyDescent="0.35">
      <c r="A48" s="13">
        <v>44409</v>
      </c>
      <c r="B48" s="16">
        <v>1.51</v>
      </c>
    </row>
    <row r="49" spans="1:2" x14ac:dyDescent="0.35">
      <c r="A49" s="13">
        <v>44440</v>
      </c>
      <c r="B49" s="16">
        <v>1.53</v>
      </c>
    </row>
    <row r="50" spans="1:2" x14ac:dyDescent="0.35">
      <c r="A50" s="13">
        <v>44470</v>
      </c>
      <c r="B50" s="16">
        <v>1.63</v>
      </c>
    </row>
    <row r="51" spans="1:2" x14ac:dyDescent="0.35">
      <c r="A51" s="13">
        <v>44501</v>
      </c>
      <c r="B51" s="16">
        <v>1.63</v>
      </c>
    </row>
    <row r="52" spans="1:2" x14ac:dyDescent="0.35">
      <c r="A52" s="13">
        <v>44531</v>
      </c>
      <c r="B52" s="16">
        <v>1.69</v>
      </c>
    </row>
    <row r="53" spans="1:2" x14ac:dyDescent="0.35">
      <c r="A53" s="13">
        <v>44562</v>
      </c>
      <c r="B53" s="16">
        <v>1.72</v>
      </c>
    </row>
    <row r="54" spans="1:2" x14ac:dyDescent="0.35">
      <c r="A54" s="13">
        <v>44593</v>
      </c>
      <c r="B54" s="16">
        <v>1.79</v>
      </c>
    </row>
    <row r="55" spans="1:2" x14ac:dyDescent="0.35">
      <c r="A55" s="13">
        <v>44621</v>
      </c>
      <c r="B55" s="16">
        <v>1.79</v>
      </c>
    </row>
    <row r="56" spans="1:2" x14ac:dyDescent="0.35">
      <c r="A56" s="13">
        <v>44652</v>
      </c>
      <c r="B56" s="16">
        <v>1.84</v>
      </c>
    </row>
    <row r="57" spans="1:2" x14ac:dyDescent="0.35">
      <c r="A57" s="13">
        <v>44682</v>
      </c>
      <c r="B57" s="16">
        <v>1.77</v>
      </c>
    </row>
    <row r="58" spans="1:2" x14ac:dyDescent="0.35">
      <c r="A58" s="13">
        <v>44713</v>
      </c>
      <c r="B58" s="16">
        <v>1.81</v>
      </c>
    </row>
    <row r="59" spans="1:2" x14ac:dyDescent="0.35">
      <c r="A59" s="13">
        <v>44743</v>
      </c>
      <c r="B59" s="16">
        <v>1.77</v>
      </c>
    </row>
    <row r="60" spans="1:2" x14ac:dyDescent="0.35">
      <c r="A60" s="13">
        <v>44774</v>
      </c>
      <c r="B60" s="16">
        <v>1.72</v>
      </c>
    </row>
    <row r="61" spans="1:2" x14ac:dyDescent="0.35">
      <c r="A61" s="13">
        <v>44805</v>
      </c>
      <c r="B61" s="16">
        <v>1.68</v>
      </c>
    </row>
    <row r="62" spans="1:2" x14ac:dyDescent="0.35">
      <c r="A62" s="13">
        <v>44835</v>
      </c>
      <c r="B62" s="16">
        <v>1.69</v>
      </c>
    </row>
    <row r="63" spans="1:2" x14ac:dyDescent="0.35">
      <c r="A63" s="13">
        <v>44866</v>
      </c>
      <c r="B63" s="16">
        <v>1.77</v>
      </c>
    </row>
    <row r="64" spans="1:2" x14ac:dyDescent="0.35">
      <c r="A64" s="13">
        <v>44896</v>
      </c>
      <c r="B64" s="16">
        <v>1.79</v>
      </c>
    </row>
    <row r="65" spans="1:2" x14ac:dyDescent="0.35">
      <c r="A65" s="13">
        <v>44927</v>
      </c>
      <c r="B65" s="16">
        <v>1.8</v>
      </c>
    </row>
    <row r="66" spans="1:2" x14ac:dyDescent="0.35">
      <c r="A66" s="13">
        <v>44958</v>
      </c>
      <c r="B66" s="16">
        <v>1.73</v>
      </c>
    </row>
    <row r="67" spans="1:2" x14ac:dyDescent="0.35">
      <c r="A67" s="13">
        <v>44986</v>
      </c>
      <c r="B67" s="16">
        <v>1.68</v>
      </c>
    </row>
    <row r="68" spans="1:2" x14ac:dyDescent="0.35">
      <c r="A68" s="13">
        <v>45017</v>
      </c>
      <c r="B68" s="16">
        <v>1.67</v>
      </c>
    </row>
    <row r="69" spans="1:2" x14ac:dyDescent="0.35">
      <c r="A69" s="13">
        <v>45047</v>
      </c>
      <c r="B69" s="16">
        <v>1.59</v>
      </c>
    </row>
    <row r="70" spans="1:2" x14ac:dyDescent="0.35">
      <c r="A70" s="13">
        <v>45078</v>
      </c>
      <c r="B70" s="16">
        <v>1.55</v>
      </c>
    </row>
    <row r="71" spans="1:2" x14ac:dyDescent="0.35">
      <c r="A71" s="13">
        <v>45108</v>
      </c>
      <c r="B71" s="16">
        <v>1.51</v>
      </c>
    </row>
    <row r="72" spans="1:2" x14ac:dyDescent="0.35">
      <c r="A72" s="13">
        <v>45139</v>
      </c>
      <c r="B72" s="16">
        <v>1.4</v>
      </c>
    </row>
    <row r="73" spans="1:2" x14ac:dyDescent="0.35">
      <c r="A73" s="13">
        <v>45170</v>
      </c>
      <c r="B73" s="16">
        <v>1.36</v>
      </c>
    </row>
    <row r="74" spans="1:2" x14ac:dyDescent="0.35">
      <c r="A74" s="13">
        <v>45200</v>
      </c>
      <c r="B74" s="16">
        <v>1.35</v>
      </c>
    </row>
    <row r="75" spans="1:2" x14ac:dyDescent="0.35">
      <c r="A75" s="13">
        <v>45231</v>
      </c>
      <c r="B75" s="16">
        <v>1.39</v>
      </c>
    </row>
    <row r="76" spans="1:2" x14ac:dyDescent="0.35">
      <c r="A76" s="13">
        <v>45261</v>
      </c>
      <c r="B76" s="16">
        <v>1.41</v>
      </c>
    </row>
    <row r="77" spans="1:2" x14ac:dyDescent="0.35">
      <c r="A77" s="13">
        <v>45292</v>
      </c>
      <c r="B77" s="16">
        <v>1.47</v>
      </c>
    </row>
    <row r="78" spans="1:2" x14ac:dyDescent="0.35">
      <c r="A78" s="13">
        <v>45323</v>
      </c>
      <c r="B78" s="16">
        <v>1.47</v>
      </c>
    </row>
    <row r="79" spans="1:2" x14ac:dyDescent="0.35">
      <c r="A79" s="13">
        <v>45352</v>
      </c>
      <c r="B79" s="16">
        <v>1.49</v>
      </c>
    </row>
    <row r="80" spans="1:2" x14ac:dyDescent="0.35">
      <c r="A80" s="13">
        <v>45383</v>
      </c>
      <c r="B80" s="16">
        <v>1.5</v>
      </c>
    </row>
    <row r="81" spans="1:2" x14ac:dyDescent="0.35">
      <c r="A81" s="13">
        <v>45413</v>
      </c>
      <c r="B81" s="16">
        <v>1.49</v>
      </c>
    </row>
    <row r="82" spans="1:2" x14ac:dyDescent="0.35">
      <c r="A82" s="13">
        <v>45444</v>
      </c>
      <c r="B82" s="16">
        <v>1.49</v>
      </c>
    </row>
    <row r="83" spans="1:2" x14ac:dyDescent="0.35">
      <c r="A83" s="13">
        <v>45474</v>
      </c>
      <c r="B83" s="16">
        <v>1.49</v>
      </c>
    </row>
    <row r="84" spans="1:2" x14ac:dyDescent="0.35">
      <c r="A84" s="13">
        <v>45505</v>
      </c>
      <c r="B84" s="16">
        <v>1.48</v>
      </c>
    </row>
    <row r="85" spans="1:2" x14ac:dyDescent="0.35">
      <c r="A85" s="13">
        <v>45536</v>
      </c>
      <c r="B85" s="16">
        <v>1.49</v>
      </c>
    </row>
    <row r="86" spans="1:2" x14ac:dyDescent="0.35">
      <c r="A86" s="13">
        <v>45566</v>
      </c>
      <c r="B86" s="16">
        <v>1.47</v>
      </c>
    </row>
    <row r="87" spans="1:2" x14ac:dyDescent="0.35">
      <c r="A87" s="13">
        <v>45597</v>
      </c>
      <c r="B87" s="16">
        <v>1.43</v>
      </c>
    </row>
    <row r="88" spans="1:2" x14ac:dyDescent="0.35">
      <c r="A88" s="13">
        <v>45627</v>
      </c>
      <c r="B88" s="16">
        <v>1.4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E9B2-B526-4FFB-8CCB-2E56B6CD9C77}">
  <dimension ref="A4:B88"/>
  <sheetViews>
    <sheetView topLeftCell="A4" workbookViewId="0">
      <selection activeCell="B4" sqref="B4"/>
    </sheetView>
  </sheetViews>
  <sheetFormatPr defaultRowHeight="14.5" x14ac:dyDescent="0.35"/>
  <cols>
    <col min="2" max="2" width="15.816406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0.44</v>
      </c>
    </row>
    <row r="6" spans="1:2" x14ac:dyDescent="0.35">
      <c r="A6" s="13">
        <v>43132</v>
      </c>
      <c r="B6" s="16">
        <v>0.42</v>
      </c>
    </row>
    <row r="7" spans="1:2" x14ac:dyDescent="0.35">
      <c r="A7" s="13">
        <v>43160</v>
      </c>
      <c r="B7" s="16">
        <v>0.44</v>
      </c>
    </row>
    <row r="8" spans="1:2" x14ac:dyDescent="0.35">
      <c r="A8" s="13">
        <v>43191</v>
      </c>
      <c r="B8" s="16">
        <v>0.48</v>
      </c>
    </row>
    <row r="9" spans="1:2" x14ac:dyDescent="0.35">
      <c r="A9" s="13">
        <v>43221</v>
      </c>
      <c r="B9" s="16">
        <v>0.52</v>
      </c>
    </row>
    <row r="10" spans="1:2" x14ac:dyDescent="0.35">
      <c r="A10" s="13">
        <v>43252</v>
      </c>
      <c r="B10" s="16">
        <v>0.5</v>
      </c>
    </row>
    <row r="11" spans="1:2" x14ac:dyDescent="0.35">
      <c r="A11" s="13">
        <v>43282</v>
      </c>
      <c r="B11" s="16">
        <v>0.51</v>
      </c>
    </row>
    <row r="12" spans="1:2" x14ac:dyDescent="0.35">
      <c r="A12" s="13">
        <v>43313</v>
      </c>
      <c r="B12" s="16">
        <v>0.51</v>
      </c>
    </row>
    <row r="13" spans="1:2" x14ac:dyDescent="0.35">
      <c r="A13" s="13">
        <v>43344</v>
      </c>
      <c r="B13" s="16">
        <v>0.53</v>
      </c>
    </row>
    <row r="14" spans="1:2" x14ac:dyDescent="0.35">
      <c r="A14" s="13">
        <v>43374</v>
      </c>
      <c r="B14" s="16">
        <v>0.51</v>
      </c>
    </row>
    <row r="15" spans="1:2" x14ac:dyDescent="0.35">
      <c r="A15" s="13">
        <v>43405</v>
      </c>
      <c r="B15" s="16">
        <v>0.42</v>
      </c>
    </row>
    <row r="16" spans="1:2" x14ac:dyDescent="0.35">
      <c r="A16" s="13">
        <v>43435</v>
      </c>
      <c r="B16" s="16">
        <v>0.39</v>
      </c>
    </row>
    <row r="17" spans="1:2" x14ac:dyDescent="0.35">
      <c r="A17" s="13">
        <v>43466</v>
      </c>
      <c r="B17" s="16">
        <v>0.38</v>
      </c>
    </row>
    <row r="18" spans="1:2" x14ac:dyDescent="0.35">
      <c r="A18" s="13">
        <v>43497</v>
      </c>
      <c r="B18" s="16">
        <v>0.4</v>
      </c>
    </row>
    <row r="19" spans="1:2" x14ac:dyDescent="0.35">
      <c r="A19" s="13">
        <v>43525</v>
      </c>
      <c r="B19" s="16">
        <v>0.42</v>
      </c>
    </row>
    <row r="20" spans="1:2" x14ac:dyDescent="0.35">
      <c r="A20" s="13">
        <v>43556</v>
      </c>
      <c r="B20" s="16">
        <v>0.44</v>
      </c>
    </row>
    <row r="21" spans="1:2" x14ac:dyDescent="0.35">
      <c r="A21" s="13">
        <v>43586</v>
      </c>
      <c r="B21" s="16">
        <v>0.43</v>
      </c>
    </row>
    <row r="22" spans="1:2" x14ac:dyDescent="0.35">
      <c r="A22" s="13">
        <v>43617</v>
      </c>
      <c r="B22" s="16">
        <v>0.38</v>
      </c>
    </row>
    <row r="23" spans="1:2" x14ac:dyDescent="0.35">
      <c r="A23" s="13">
        <v>43647</v>
      </c>
      <c r="B23" s="16">
        <v>0.39</v>
      </c>
    </row>
    <row r="24" spans="1:2" x14ac:dyDescent="0.35">
      <c r="A24" s="13">
        <v>43678</v>
      </c>
      <c r="B24" s="16">
        <v>0.37</v>
      </c>
    </row>
    <row r="25" spans="1:2" x14ac:dyDescent="0.35">
      <c r="A25" s="13">
        <v>43709</v>
      </c>
      <c r="B25" s="16">
        <v>0.37</v>
      </c>
    </row>
    <row r="26" spans="1:2" x14ac:dyDescent="0.35">
      <c r="A26" s="13">
        <v>43739</v>
      </c>
      <c r="B26" s="16">
        <v>0.37</v>
      </c>
    </row>
    <row r="27" spans="1:2" x14ac:dyDescent="0.35">
      <c r="A27" s="13">
        <v>43770</v>
      </c>
      <c r="B27" s="16">
        <v>0.39</v>
      </c>
    </row>
    <row r="28" spans="1:2" x14ac:dyDescent="0.35">
      <c r="A28" s="13">
        <v>43800</v>
      </c>
      <c r="B28" s="16">
        <v>0.4</v>
      </c>
    </row>
    <row r="29" spans="1:2" x14ac:dyDescent="0.35">
      <c r="A29" s="13">
        <v>43831</v>
      </c>
      <c r="B29" s="16">
        <v>0.39</v>
      </c>
    </row>
    <row r="30" spans="1:2" x14ac:dyDescent="0.35">
      <c r="A30" s="13">
        <v>43862</v>
      </c>
      <c r="B30" s="16">
        <v>0.35</v>
      </c>
    </row>
    <row r="31" spans="1:2" x14ac:dyDescent="0.35">
      <c r="A31" s="13">
        <v>43891</v>
      </c>
      <c r="B31" s="16">
        <v>0.22</v>
      </c>
    </row>
    <row r="32" spans="1:2" x14ac:dyDescent="0.35">
      <c r="A32" s="13">
        <v>43922</v>
      </c>
      <c r="B32" s="16">
        <v>0.15</v>
      </c>
    </row>
    <row r="33" spans="1:2" x14ac:dyDescent="0.35">
      <c r="A33" s="13">
        <v>43952</v>
      </c>
      <c r="B33" s="16">
        <v>0.21</v>
      </c>
    </row>
    <row r="34" spans="1:2" x14ac:dyDescent="0.35">
      <c r="A34" s="13">
        <v>43983</v>
      </c>
      <c r="B34" s="16">
        <v>0.28000000000000003</v>
      </c>
    </row>
    <row r="35" spans="1:2" x14ac:dyDescent="0.35">
      <c r="A35" s="13">
        <v>44013</v>
      </c>
      <c r="B35" s="16">
        <v>0.31</v>
      </c>
    </row>
    <row r="36" spans="1:2" x14ac:dyDescent="0.35">
      <c r="A36" s="13">
        <v>44044</v>
      </c>
      <c r="B36" s="16">
        <v>0.32</v>
      </c>
    </row>
    <row r="37" spans="1:2" x14ac:dyDescent="0.35">
      <c r="A37" s="13">
        <v>44075</v>
      </c>
      <c r="B37" s="16">
        <v>0.32</v>
      </c>
    </row>
    <row r="38" spans="1:2" x14ac:dyDescent="0.35">
      <c r="A38" s="13">
        <v>44105</v>
      </c>
      <c r="B38" s="16">
        <v>0.34</v>
      </c>
    </row>
    <row r="39" spans="1:2" x14ac:dyDescent="0.35">
      <c r="A39" s="13">
        <v>44136</v>
      </c>
      <c r="B39" s="16">
        <v>0.34</v>
      </c>
    </row>
    <row r="40" spans="1:2" x14ac:dyDescent="0.35">
      <c r="A40" s="13">
        <v>44166</v>
      </c>
      <c r="B40" s="16">
        <v>0.37</v>
      </c>
    </row>
    <row r="41" spans="1:2" x14ac:dyDescent="0.35">
      <c r="A41" s="13">
        <v>44197</v>
      </c>
      <c r="B41" s="16">
        <v>0.41</v>
      </c>
    </row>
    <row r="42" spans="1:2" x14ac:dyDescent="0.35">
      <c r="A42" s="13">
        <v>44228</v>
      </c>
      <c r="B42" s="16">
        <v>0.44</v>
      </c>
    </row>
    <row r="43" spans="1:2" x14ac:dyDescent="0.35">
      <c r="A43" s="13">
        <v>44256</v>
      </c>
      <c r="B43" s="16">
        <v>0.45</v>
      </c>
    </row>
    <row r="44" spans="1:2" x14ac:dyDescent="0.35">
      <c r="A44" s="13">
        <v>44287</v>
      </c>
      <c r="B44" s="16">
        <v>0.46</v>
      </c>
    </row>
    <row r="45" spans="1:2" x14ac:dyDescent="0.35">
      <c r="A45" s="13">
        <v>44317</v>
      </c>
      <c r="B45" s="16">
        <v>0.5</v>
      </c>
    </row>
    <row r="46" spans="1:2" x14ac:dyDescent="0.35">
      <c r="A46" s="13">
        <v>44348</v>
      </c>
      <c r="B46" s="16">
        <v>0.52</v>
      </c>
    </row>
    <row r="47" spans="1:2" x14ac:dyDescent="0.35">
      <c r="A47" s="13">
        <v>44378</v>
      </c>
      <c r="B47" s="16">
        <v>0.53</v>
      </c>
    </row>
    <row r="48" spans="1:2" x14ac:dyDescent="0.35">
      <c r="A48" s="13">
        <v>44409</v>
      </c>
      <c r="B48" s="16">
        <v>0.53</v>
      </c>
    </row>
    <row r="49" spans="1:2" x14ac:dyDescent="0.35">
      <c r="A49" s="13">
        <v>44440</v>
      </c>
      <c r="B49" s="16">
        <v>0.54</v>
      </c>
    </row>
    <row r="50" spans="1:2" x14ac:dyDescent="0.35">
      <c r="A50" s="13">
        <v>44470</v>
      </c>
      <c r="B50" s="16">
        <v>0.56000000000000005</v>
      </c>
    </row>
    <row r="51" spans="1:2" x14ac:dyDescent="0.35">
      <c r="A51" s="13">
        <v>44501</v>
      </c>
      <c r="B51" s="16">
        <v>0.57999999999999996</v>
      </c>
    </row>
    <row r="52" spans="1:2" x14ac:dyDescent="0.35">
      <c r="A52" s="13">
        <v>44531</v>
      </c>
      <c r="B52" s="16">
        <v>0.61</v>
      </c>
    </row>
    <row r="53" spans="1:2" x14ac:dyDescent="0.35">
      <c r="A53" s="13">
        <v>44562</v>
      </c>
      <c r="B53" s="16">
        <v>0.65</v>
      </c>
    </row>
    <row r="54" spans="1:2" x14ac:dyDescent="0.35">
      <c r="A54" s="13">
        <v>44593</v>
      </c>
      <c r="B54" s="16">
        <v>0.7</v>
      </c>
    </row>
    <row r="55" spans="1:2" x14ac:dyDescent="0.35">
      <c r="A55" s="13">
        <v>44621</v>
      </c>
      <c r="B55" s="16">
        <v>0.73</v>
      </c>
    </row>
    <row r="56" spans="1:2" x14ac:dyDescent="0.35">
      <c r="A56" s="13">
        <v>44652</v>
      </c>
      <c r="B56" s="16">
        <v>0.75</v>
      </c>
    </row>
    <row r="57" spans="1:2" x14ac:dyDescent="0.35">
      <c r="A57" s="13">
        <v>44682</v>
      </c>
      <c r="B57" s="16">
        <v>0.73</v>
      </c>
    </row>
    <row r="58" spans="1:2" x14ac:dyDescent="0.35">
      <c r="A58" s="13">
        <v>44713</v>
      </c>
      <c r="B58" s="16">
        <v>0.73</v>
      </c>
    </row>
    <row r="59" spans="1:2" x14ac:dyDescent="0.35">
      <c r="A59" s="13">
        <v>44743</v>
      </c>
      <c r="B59" s="16">
        <v>0.73</v>
      </c>
    </row>
    <row r="60" spans="1:2" x14ac:dyDescent="0.35">
      <c r="A60" s="13">
        <v>44774</v>
      </c>
      <c r="B60" s="16">
        <v>0.71</v>
      </c>
    </row>
    <row r="61" spans="1:2" x14ac:dyDescent="0.35">
      <c r="A61" s="13">
        <v>44805</v>
      </c>
      <c r="B61" s="16">
        <v>0.66</v>
      </c>
    </row>
    <row r="62" spans="1:2" x14ac:dyDescent="0.35">
      <c r="A62" s="13">
        <v>44835</v>
      </c>
      <c r="B62" s="16">
        <v>0.65</v>
      </c>
    </row>
    <row r="63" spans="1:2" x14ac:dyDescent="0.35">
      <c r="A63" s="13">
        <v>44866</v>
      </c>
      <c r="B63" s="16">
        <v>0.67</v>
      </c>
    </row>
    <row r="64" spans="1:2" x14ac:dyDescent="0.35">
      <c r="A64" s="13">
        <v>44896</v>
      </c>
      <c r="B64" s="16">
        <v>0.63</v>
      </c>
    </row>
    <row r="65" spans="1:2" x14ac:dyDescent="0.35">
      <c r="A65" s="13">
        <v>44927</v>
      </c>
      <c r="B65" s="16">
        <v>0.65</v>
      </c>
    </row>
    <row r="66" spans="1:2" x14ac:dyDescent="0.35">
      <c r="A66" s="13">
        <v>44958</v>
      </c>
      <c r="B66" s="16">
        <v>0.69</v>
      </c>
    </row>
    <row r="67" spans="1:2" x14ac:dyDescent="0.35">
      <c r="A67" s="13">
        <v>44986</v>
      </c>
      <c r="B67" s="16">
        <v>0.69</v>
      </c>
    </row>
    <row r="68" spans="1:2" x14ac:dyDescent="0.35">
      <c r="A68" s="13">
        <v>45017</v>
      </c>
      <c r="B68" s="16">
        <v>0.67</v>
      </c>
    </row>
    <row r="69" spans="1:2" x14ac:dyDescent="0.35">
      <c r="A69" s="13">
        <v>45047</v>
      </c>
      <c r="B69" s="16">
        <v>0.6</v>
      </c>
    </row>
    <row r="70" spans="1:2" x14ac:dyDescent="0.35">
      <c r="A70" s="13">
        <v>45078</v>
      </c>
      <c r="B70" s="16">
        <v>0.56999999999999995</v>
      </c>
    </row>
    <row r="71" spans="1:2" x14ac:dyDescent="0.35">
      <c r="A71" s="13">
        <v>45108</v>
      </c>
      <c r="B71" s="16">
        <v>0.56999999999999995</v>
      </c>
    </row>
    <row r="72" spans="1:2" x14ac:dyDescent="0.35">
      <c r="A72" s="13">
        <v>45139</v>
      </c>
      <c r="B72" s="16">
        <v>0.6</v>
      </c>
    </row>
    <row r="73" spans="1:2" x14ac:dyDescent="0.35">
      <c r="A73" s="13">
        <v>45170</v>
      </c>
      <c r="B73" s="16">
        <v>0.64</v>
      </c>
    </row>
    <row r="74" spans="1:2" x14ac:dyDescent="0.35">
      <c r="A74" s="13">
        <v>45200</v>
      </c>
      <c r="B74" s="16">
        <v>0.62</v>
      </c>
    </row>
    <row r="75" spans="1:2" x14ac:dyDescent="0.35">
      <c r="A75" s="13">
        <v>45231</v>
      </c>
      <c r="B75" s="16">
        <v>0.6</v>
      </c>
    </row>
    <row r="76" spans="1:2" x14ac:dyDescent="0.35">
      <c r="A76" s="13">
        <v>45261</v>
      </c>
      <c r="B76" s="16">
        <v>0.59</v>
      </c>
    </row>
    <row r="77" spans="1:2" x14ac:dyDescent="0.35">
      <c r="A77" s="13">
        <v>45292</v>
      </c>
      <c r="B77" s="16">
        <v>0.6</v>
      </c>
    </row>
    <row r="78" spans="1:2" x14ac:dyDescent="0.35">
      <c r="A78" s="13">
        <v>45323</v>
      </c>
      <c r="B78" s="16">
        <v>0.61</v>
      </c>
    </row>
    <row r="79" spans="1:2" x14ac:dyDescent="0.35">
      <c r="A79" s="13">
        <v>45352</v>
      </c>
      <c r="B79" s="16">
        <v>0.64</v>
      </c>
    </row>
    <row r="80" spans="1:2" x14ac:dyDescent="0.35">
      <c r="A80" s="13">
        <v>45383</v>
      </c>
      <c r="B80" s="16">
        <v>0.64</v>
      </c>
    </row>
    <row r="81" spans="1:2" x14ac:dyDescent="0.35">
      <c r="A81" s="13">
        <v>45413</v>
      </c>
      <c r="B81" s="16">
        <v>0.62</v>
      </c>
    </row>
    <row r="82" spans="1:2" x14ac:dyDescent="0.35">
      <c r="A82" s="13">
        <v>45444</v>
      </c>
      <c r="B82" s="16">
        <v>0.61</v>
      </c>
    </row>
    <row r="83" spans="1:2" x14ac:dyDescent="0.35">
      <c r="A83" s="13">
        <v>45474</v>
      </c>
      <c r="B83" s="16">
        <v>0.61</v>
      </c>
    </row>
    <row r="84" spans="1:2" x14ac:dyDescent="0.35">
      <c r="A84" s="13">
        <v>45505</v>
      </c>
      <c r="B84" s="16">
        <v>0.59</v>
      </c>
    </row>
    <row r="85" spans="1:2" x14ac:dyDescent="0.35">
      <c r="A85" s="13">
        <v>45536</v>
      </c>
      <c r="B85" s="16">
        <v>0.56999999999999995</v>
      </c>
    </row>
    <row r="86" spans="1:2" x14ac:dyDescent="0.35">
      <c r="A86" s="13">
        <v>45566</v>
      </c>
      <c r="B86" s="16">
        <v>0.56000000000000005</v>
      </c>
    </row>
    <row r="87" spans="1:2" x14ac:dyDescent="0.35">
      <c r="A87" s="13">
        <v>45597</v>
      </c>
      <c r="B87" s="16">
        <v>0.55000000000000004</v>
      </c>
    </row>
    <row r="88" spans="1:2" x14ac:dyDescent="0.35">
      <c r="A88" s="13">
        <v>45627</v>
      </c>
      <c r="B88" s="16">
        <v>0.54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EC7B-866D-4172-B334-3845EAF39B45}">
  <dimension ref="A4:B88"/>
  <sheetViews>
    <sheetView topLeftCell="A4" workbookViewId="0">
      <pane xSplit="1" topLeftCell="B1" activePane="topRight" state="frozen"/>
      <selection activeCell="A6" sqref="A6"/>
      <selection pane="topRight" activeCell="B4" sqref="B4"/>
    </sheetView>
  </sheetViews>
  <sheetFormatPr defaultRowHeight="14.5" x14ac:dyDescent="0.35"/>
  <cols>
    <col min="2" max="2" width="15.816406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>
        <v>1.03</v>
      </c>
    </row>
    <row r="8" spans="1:2" x14ac:dyDescent="0.35">
      <c r="A8" s="13">
        <v>43191</v>
      </c>
      <c r="B8" s="16">
        <v>1.08</v>
      </c>
    </row>
    <row r="9" spans="1:2" x14ac:dyDescent="0.35">
      <c r="A9" s="13">
        <v>43221</v>
      </c>
      <c r="B9" s="16">
        <v>1.0900000000000001</v>
      </c>
    </row>
    <row r="10" spans="1:2" x14ac:dyDescent="0.35">
      <c r="A10" s="13">
        <v>43252</v>
      </c>
      <c r="B10" s="16">
        <v>1.1000000000000001</v>
      </c>
    </row>
    <row r="11" spans="1:2" x14ac:dyDescent="0.35">
      <c r="A11" s="13">
        <v>43282</v>
      </c>
      <c r="B11" s="16">
        <v>1.1299999999999999</v>
      </c>
    </row>
    <row r="12" spans="1:2" x14ac:dyDescent="0.35">
      <c r="A12" s="13">
        <v>43313</v>
      </c>
      <c r="B12" s="16">
        <v>1.1299999999999999</v>
      </c>
    </row>
    <row r="13" spans="1:2" x14ac:dyDescent="0.35">
      <c r="A13" s="13">
        <v>43344</v>
      </c>
      <c r="B13" s="16">
        <v>1.1399999999999999</v>
      </c>
    </row>
    <row r="14" spans="1:2" x14ac:dyDescent="0.35">
      <c r="A14" s="13">
        <v>43374</v>
      </c>
      <c r="B14" s="16">
        <v>1.1100000000000001</v>
      </c>
    </row>
    <row r="15" spans="1:2" x14ac:dyDescent="0.35">
      <c r="A15" s="13">
        <v>43405</v>
      </c>
      <c r="B15" s="16">
        <v>1.07</v>
      </c>
    </row>
    <row r="16" spans="1:2" x14ac:dyDescent="0.35">
      <c r="A16" s="13">
        <v>43435</v>
      </c>
      <c r="B16" s="16">
        <v>1.05</v>
      </c>
    </row>
    <row r="17" spans="1:2" x14ac:dyDescent="0.35">
      <c r="A17" s="13">
        <v>43466</v>
      </c>
      <c r="B17" s="16">
        <v>1.02</v>
      </c>
    </row>
    <row r="18" spans="1:2" x14ac:dyDescent="0.35">
      <c r="A18" s="13">
        <v>43497</v>
      </c>
      <c r="B18" s="16">
        <v>1.01</v>
      </c>
    </row>
    <row r="19" spans="1:2" x14ac:dyDescent="0.35">
      <c r="A19" s="13">
        <v>43525</v>
      </c>
      <c r="B19" s="16">
        <v>1.03</v>
      </c>
    </row>
    <row r="20" spans="1:2" x14ac:dyDescent="0.35">
      <c r="A20" s="13">
        <v>43556</v>
      </c>
      <c r="B20" s="16">
        <v>1.03</v>
      </c>
    </row>
    <row r="21" spans="1:2" x14ac:dyDescent="0.35">
      <c r="A21" s="13">
        <v>43586</v>
      </c>
      <c r="B21" s="16">
        <v>1.03</v>
      </c>
    </row>
    <row r="22" spans="1:2" x14ac:dyDescent="0.35">
      <c r="A22" s="13">
        <v>43617</v>
      </c>
      <c r="B22" s="16">
        <v>1.04</v>
      </c>
    </row>
    <row r="23" spans="1:2" x14ac:dyDescent="0.35">
      <c r="A23" s="13">
        <v>43647</v>
      </c>
      <c r="B23" s="16">
        <v>1</v>
      </c>
    </row>
    <row r="24" spans="1:2" x14ac:dyDescent="0.35">
      <c r="A24" s="13">
        <v>43678</v>
      </c>
      <c r="B24" s="16">
        <v>0.95</v>
      </c>
    </row>
    <row r="25" spans="1:2" x14ac:dyDescent="0.35">
      <c r="A25" s="13">
        <v>43709</v>
      </c>
      <c r="B25" s="16">
        <v>0.9</v>
      </c>
    </row>
    <row r="26" spans="1:2" x14ac:dyDescent="0.35">
      <c r="A26" s="13">
        <v>43739</v>
      </c>
      <c r="B26" s="16">
        <v>0.88</v>
      </c>
    </row>
    <row r="27" spans="1:2" x14ac:dyDescent="0.35">
      <c r="A27" s="13">
        <v>43770</v>
      </c>
      <c r="B27" s="16">
        <v>0.86</v>
      </c>
    </row>
    <row r="28" spans="1:2" x14ac:dyDescent="0.35">
      <c r="A28" s="13">
        <v>43800</v>
      </c>
      <c r="B28" s="16">
        <v>0.85</v>
      </c>
    </row>
    <row r="29" spans="1:2" x14ac:dyDescent="0.35">
      <c r="A29" s="13">
        <v>43831</v>
      </c>
      <c r="B29" s="16">
        <v>0.85</v>
      </c>
    </row>
    <row r="30" spans="1:2" x14ac:dyDescent="0.35">
      <c r="A30" s="13">
        <v>43862</v>
      </c>
      <c r="B30" s="16">
        <v>0.82</v>
      </c>
    </row>
    <row r="31" spans="1:2" x14ac:dyDescent="0.35">
      <c r="A31" s="13">
        <v>43891</v>
      </c>
      <c r="B31" s="16">
        <v>0.79</v>
      </c>
    </row>
    <row r="32" spans="1:2" x14ac:dyDescent="0.35">
      <c r="A32" s="13">
        <v>43922</v>
      </c>
      <c r="B32" s="16">
        <v>0.72</v>
      </c>
    </row>
    <row r="33" spans="1:2" x14ac:dyDescent="0.35">
      <c r="A33" s="13">
        <v>43952</v>
      </c>
      <c r="B33" s="16">
        <v>0.67</v>
      </c>
    </row>
    <row r="34" spans="1:2" x14ac:dyDescent="0.35">
      <c r="A34" s="13">
        <v>43983</v>
      </c>
      <c r="B34" s="16">
        <v>0.68</v>
      </c>
    </row>
    <row r="35" spans="1:2" x14ac:dyDescent="0.35">
      <c r="A35" s="13">
        <v>44013</v>
      </c>
      <c r="B35" s="16">
        <v>0.69</v>
      </c>
    </row>
    <row r="36" spans="1:2" x14ac:dyDescent="0.35">
      <c r="A36" s="13">
        <v>44044</v>
      </c>
      <c r="B36" s="16">
        <v>0.73</v>
      </c>
    </row>
    <row r="37" spans="1:2" x14ac:dyDescent="0.35">
      <c r="A37" s="13">
        <v>44075</v>
      </c>
      <c r="B37" s="16">
        <v>0.75</v>
      </c>
    </row>
    <row r="38" spans="1:2" x14ac:dyDescent="0.35">
      <c r="A38" s="13">
        <v>44105</v>
      </c>
      <c r="B38" s="16">
        <v>0.77</v>
      </c>
    </row>
    <row r="39" spans="1:2" x14ac:dyDescent="0.35">
      <c r="A39" s="13">
        <v>44136</v>
      </c>
      <c r="B39" s="16">
        <v>0.79</v>
      </c>
    </row>
    <row r="40" spans="1:2" x14ac:dyDescent="0.35">
      <c r="A40" s="13">
        <v>44166</v>
      </c>
      <c r="B40" s="16">
        <v>0.86</v>
      </c>
    </row>
    <row r="41" spans="1:2" x14ac:dyDescent="0.35">
      <c r="A41" s="13">
        <v>44197</v>
      </c>
      <c r="B41" s="16">
        <v>0.92</v>
      </c>
    </row>
    <row r="42" spans="1:2" x14ac:dyDescent="0.35">
      <c r="A42" s="13">
        <v>44228</v>
      </c>
      <c r="B42" s="16">
        <v>0.97</v>
      </c>
    </row>
    <row r="43" spans="1:2" x14ac:dyDescent="0.35">
      <c r="A43" s="13">
        <v>44256</v>
      </c>
      <c r="B43" s="16">
        <v>1.03</v>
      </c>
    </row>
    <row r="44" spans="1:2" x14ac:dyDescent="0.35">
      <c r="A44" s="13">
        <v>44287</v>
      </c>
      <c r="B44" s="16">
        <v>1.08</v>
      </c>
    </row>
    <row r="45" spans="1:2" x14ac:dyDescent="0.35">
      <c r="A45" s="13">
        <v>44317</v>
      </c>
      <c r="B45" s="16">
        <v>1.1499999999999999</v>
      </c>
    </row>
    <row r="46" spans="1:2" x14ac:dyDescent="0.35">
      <c r="A46" s="13">
        <v>44348</v>
      </c>
      <c r="B46" s="16">
        <v>1.18</v>
      </c>
    </row>
    <row r="47" spans="1:2" x14ac:dyDescent="0.35">
      <c r="A47" s="13">
        <v>44378</v>
      </c>
      <c r="B47" s="16">
        <v>1.2</v>
      </c>
    </row>
    <row r="48" spans="1:2" x14ac:dyDescent="0.35">
      <c r="A48" s="13">
        <v>44409</v>
      </c>
      <c r="B48" s="16">
        <v>1.24</v>
      </c>
    </row>
    <row r="49" spans="1:2" x14ac:dyDescent="0.35">
      <c r="A49" s="13">
        <v>44440</v>
      </c>
      <c r="B49" s="16">
        <v>1.28</v>
      </c>
    </row>
    <row r="50" spans="1:2" x14ac:dyDescent="0.35">
      <c r="A50" s="13">
        <v>44470</v>
      </c>
      <c r="B50" s="16">
        <v>1.3</v>
      </c>
    </row>
    <row r="51" spans="1:2" x14ac:dyDescent="0.35">
      <c r="A51" s="13">
        <v>44501</v>
      </c>
      <c r="B51" s="16">
        <v>1.3</v>
      </c>
    </row>
    <row r="52" spans="1:2" x14ac:dyDescent="0.35">
      <c r="A52" s="13">
        <v>44531</v>
      </c>
      <c r="B52" s="16">
        <v>1.32</v>
      </c>
    </row>
    <row r="53" spans="1:2" x14ac:dyDescent="0.35">
      <c r="A53" s="13">
        <v>44562</v>
      </c>
      <c r="B53" s="16">
        <v>1.37</v>
      </c>
    </row>
    <row r="54" spans="1:2" x14ac:dyDescent="0.35">
      <c r="A54" s="13">
        <v>44593</v>
      </c>
      <c r="B54" s="16">
        <v>1.45</v>
      </c>
    </row>
    <row r="55" spans="1:2" x14ac:dyDescent="0.35">
      <c r="A55" s="13">
        <v>44621</v>
      </c>
      <c r="B55" s="16">
        <v>1.48</v>
      </c>
    </row>
    <row r="56" spans="1:2" x14ac:dyDescent="0.35">
      <c r="A56" s="13">
        <v>44652</v>
      </c>
      <c r="B56" s="16">
        <v>1.55</v>
      </c>
    </row>
    <row r="57" spans="1:2" x14ac:dyDescent="0.35">
      <c r="A57" s="13">
        <v>44682</v>
      </c>
      <c r="B57" s="16">
        <v>1.51</v>
      </c>
    </row>
    <row r="58" spans="1:2" x14ac:dyDescent="0.35">
      <c r="A58" s="13">
        <v>44713</v>
      </c>
      <c r="B58" s="16">
        <v>1.51</v>
      </c>
    </row>
    <row r="59" spans="1:2" x14ac:dyDescent="0.35">
      <c r="A59" s="13">
        <v>44743</v>
      </c>
      <c r="B59" s="16">
        <v>1.38</v>
      </c>
    </row>
    <row r="60" spans="1:2" x14ac:dyDescent="0.35">
      <c r="A60" s="13">
        <v>44774</v>
      </c>
      <c r="B60" s="16">
        <v>1.28</v>
      </c>
    </row>
    <row r="61" spans="1:2" x14ac:dyDescent="0.35">
      <c r="A61" s="13">
        <v>44805</v>
      </c>
      <c r="B61" s="16">
        <v>1.17</v>
      </c>
    </row>
    <row r="62" spans="1:2" x14ac:dyDescent="0.35">
      <c r="A62" s="13">
        <v>44835</v>
      </c>
      <c r="B62" s="16">
        <v>1.1100000000000001</v>
      </c>
    </row>
    <row r="63" spans="1:2" x14ac:dyDescent="0.35">
      <c r="A63" s="13">
        <v>44866</v>
      </c>
      <c r="B63" s="16">
        <v>1.1000000000000001</v>
      </c>
    </row>
    <row r="64" spans="1:2" x14ac:dyDescent="0.35">
      <c r="A64" s="13">
        <v>44896</v>
      </c>
      <c r="B64" s="16">
        <v>1.1200000000000001</v>
      </c>
    </row>
    <row r="65" spans="1:2" x14ac:dyDescent="0.35">
      <c r="A65" s="13">
        <v>44927</v>
      </c>
      <c r="B65" s="16">
        <v>1.08</v>
      </c>
    </row>
    <row r="66" spans="1:2" x14ac:dyDescent="0.35">
      <c r="A66" s="13">
        <v>44958</v>
      </c>
      <c r="B66" s="16">
        <v>1.07</v>
      </c>
    </row>
    <row r="67" spans="1:2" x14ac:dyDescent="0.35">
      <c r="A67" s="13">
        <v>44986</v>
      </c>
      <c r="B67" s="16">
        <v>1.06</v>
      </c>
    </row>
    <row r="68" spans="1:2" x14ac:dyDescent="0.35">
      <c r="A68" s="13">
        <v>45017</v>
      </c>
      <c r="B68" s="16">
        <v>1.07</v>
      </c>
    </row>
    <row r="69" spans="1:2" x14ac:dyDescent="0.35">
      <c r="A69" s="13">
        <v>45047</v>
      </c>
      <c r="B69" s="16">
        <v>1.04</v>
      </c>
    </row>
    <row r="70" spans="1:2" x14ac:dyDescent="0.35">
      <c r="A70" s="13">
        <v>45078</v>
      </c>
      <c r="B70" s="16">
        <v>1.03</v>
      </c>
    </row>
    <row r="71" spans="1:2" x14ac:dyDescent="0.35">
      <c r="A71" s="13">
        <v>45108</v>
      </c>
      <c r="B71" s="16">
        <v>1.03</v>
      </c>
    </row>
    <row r="72" spans="1:2" x14ac:dyDescent="0.35">
      <c r="A72" s="13">
        <v>45139</v>
      </c>
      <c r="B72" s="16">
        <v>0.98</v>
      </c>
    </row>
    <row r="73" spans="1:2" x14ac:dyDescent="0.35">
      <c r="A73" s="13">
        <v>45170</v>
      </c>
      <c r="B73" s="16">
        <v>0.96</v>
      </c>
    </row>
    <row r="74" spans="1:2" x14ac:dyDescent="0.35">
      <c r="A74" s="13">
        <v>45200</v>
      </c>
      <c r="B74" s="16">
        <v>0.95</v>
      </c>
    </row>
    <row r="75" spans="1:2" x14ac:dyDescent="0.35">
      <c r="A75" s="13">
        <v>45231</v>
      </c>
      <c r="B75" s="16">
        <v>0.99</v>
      </c>
    </row>
    <row r="76" spans="1:2" x14ac:dyDescent="0.35">
      <c r="A76" s="13">
        <v>45261</v>
      </c>
      <c r="B76" s="16">
        <v>1</v>
      </c>
    </row>
    <row r="77" spans="1:2" x14ac:dyDescent="0.35">
      <c r="A77" s="13">
        <v>45292</v>
      </c>
      <c r="B77" s="16">
        <v>1.01</v>
      </c>
    </row>
    <row r="78" spans="1:2" x14ac:dyDescent="0.35">
      <c r="A78" s="13">
        <v>45323</v>
      </c>
      <c r="B78" s="16">
        <v>1.02</v>
      </c>
    </row>
    <row r="79" spans="1:2" x14ac:dyDescent="0.35">
      <c r="A79" s="13">
        <v>45352</v>
      </c>
      <c r="B79" s="16">
        <v>1.05</v>
      </c>
    </row>
    <row r="80" spans="1:2" x14ac:dyDescent="0.35">
      <c r="A80" s="13">
        <v>45383</v>
      </c>
      <c r="B80" s="16">
        <v>1.05</v>
      </c>
    </row>
    <row r="81" spans="1:2" x14ac:dyDescent="0.35">
      <c r="A81" s="13">
        <v>45413</v>
      </c>
      <c r="B81" s="16">
        <v>1.06</v>
      </c>
    </row>
    <row r="82" spans="1:2" x14ac:dyDescent="0.35">
      <c r="A82" s="13">
        <v>45444</v>
      </c>
      <c r="B82" s="16">
        <v>1.07</v>
      </c>
    </row>
    <row r="83" spans="1:2" x14ac:dyDescent="0.35">
      <c r="A83" s="13">
        <v>45474</v>
      </c>
      <c r="B83" s="16">
        <v>1.06</v>
      </c>
    </row>
    <row r="84" spans="1:2" x14ac:dyDescent="0.35">
      <c r="A84" s="13">
        <v>45505</v>
      </c>
      <c r="B84" s="16">
        <v>1.05</v>
      </c>
    </row>
    <row r="85" spans="1:2" x14ac:dyDescent="0.35">
      <c r="A85" s="13">
        <v>45536</v>
      </c>
      <c r="B85" s="16">
        <v>1.05</v>
      </c>
    </row>
    <row r="86" spans="1:2" x14ac:dyDescent="0.35">
      <c r="A86" s="13">
        <v>45566</v>
      </c>
      <c r="B86" s="16">
        <v>1.03</v>
      </c>
    </row>
    <row r="87" spans="1:2" x14ac:dyDescent="0.35">
      <c r="A87" s="13">
        <v>45597</v>
      </c>
      <c r="B87" s="16">
        <v>1</v>
      </c>
    </row>
    <row r="88" spans="1:2" x14ac:dyDescent="0.35">
      <c r="A88" s="13">
        <v>45627</v>
      </c>
      <c r="B88" s="16">
        <v>0.98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4E43-54BD-4EFB-90F8-A4AD94C8B96F}">
  <dimension ref="A3:B87"/>
  <sheetViews>
    <sheetView workbookViewId="0">
      <selection activeCell="B3" sqref="B3"/>
    </sheetView>
  </sheetViews>
  <sheetFormatPr defaultRowHeight="14.5" x14ac:dyDescent="0.35"/>
  <cols>
    <col min="2" max="2" width="16.1796875" bestFit="1" customWidth="1"/>
  </cols>
  <sheetData>
    <row r="3" spans="1:2" x14ac:dyDescent="0.35">
      <c r="A3" s="14" t="s">
        <v>55</v>
      </c>
      <c r="B3" s="15" t="s">
        <v>194</v>
      </c>
    </row>
    <row r="4" spans="1:2" x14ac:dyDescent="0.35">
      <c r="A4" s="13">
        <v>43101</v>
      </c>
      <c r="B4" s="16">
        <v>1.02</v>
      </c>
    </row>
    <row r="5" spans="1:2" x14ac:dyDescent="0.35">
      <c r="A5" s="13">
        <v>43132</v>
      </c>
      <c r="B5" s="16">
        <v>1.0900000000000001</v>
      </c>
    </row>
    <row r="6" spans="1:2" x14ac:dyDescent="0.35">
      <c r="A6" s="13">
        <v>43160</v>
      </c>
      <c r="B6" s="16">
        <v>1.05</v>
      </c>
    </row>
    <row r="7" spans="1:2" x14ac:dyDescent="0.35">
      <c r="A7" s="13">
        <v>43191</v>
      </c>
      <c r="B7" s="16">
        <v>1.1299999999999999</v>
      </c>
    </row>
    <row r="8" spans="1:2" x14ac:dyDescent="0.35">
      <c r="A8" s="13">
        <v>43221</v>
      </c>
      <c r="B8" s="16">
        <v>1.19</v>
      </c>
    </row>
    <row r="9" spans="1:2" x14ac:dyDescent="0.35">
      <c r="A9" s="13">
        <v>43252</v>
      </c>
      <c r="B9" s="16">
        <v>1.2</v>
      </c>
    </row>
    <row r="10" spans="1:2" x14ac:dyDescent="0.35">
      <c r="A10" s="13">
        <v>43282</v>
      </c>
      <c r="B10" s="16">
        <v>1.25</v>
      </c>
    </row>
    <row r="11" spans="1:2" x14ac:dyDescent="0.35">
      <c r="A11" s="13">
        <v>43313</v>
      </c>
      <c r="B11" s="16">
        <v>1.28</v>
      </c>
    </row>
    <row r="12" spans="1:2" x14ac:dyDescent="0.35">
      <c r="A12" s="13">
        <v>43344</v>
      </c>
      <c r="B12" s="16">
        <v>1.29</v>
      </c>
    </row>
    <row r="13" spans="1:2" x14ac:dyDescent="0.35">
      <c r="A13" s="13">
        <v>43374</v>
      </c>
      <c r="B13" s="16">
        <v>1.25</v>
      </c>
    </row>
    <row r="14" spans="1:2" x14ac:dyDescent="0.35">
      <c r="A14" s="13">
        <v>43405</v>
      </c>
      <c r="B14" s="16">
        <v>1.18</v>
      </c>
    </row>
    <row r="15" spans="1:2" x14ac:dyDescent="0.35">
      <c r="A15" s="13">
        <v>43435</v>
      </c>
      <c r="B15" s="16">
        <v>1.1000000000000001</v>
      </c>
    </row>
    <row r="16" spans="1:2" x14ac:dyDescent="0.35">
      <c r="A16" s="13">
        <v>43466</v>
      </c>
      <c r="B16" s="16">
        <v>1.04</v>
      </c>
    </row>
    <row r="17" spans="1:2" x14ac:dyDescent="0.35">
      <c r="A17" s="13">
        <v>43497</v>
      </c>
      <c r="B17" s="16">
        <v>1.01</v>
      </c>
    </row>
    <row r="18" spans="1:2" x14ac:dyDescent="0.35">
      <c r="A18" s="13">
        <v>43525</v>
      </c>
      <c r="B18" s="16">
        <v>1.01</v>
      </c>
    </row>
    <row r="19" spans="1:2" x14ac:dyDescent="0.35">
      <c r="A19" s="13">
        <v>43556</v>
      </c>
      <c r="B19" s="16">
        <v>0.99</v>
      </c>
    </row>
    <row r="20" spans="1:2" x14ac:dyDescent="0.35">
      <c r="A20" s="13">
        <v>43586</v>
      </c>
      <c r="B20" s="16">
        <v>0.98</v>
      </c>
    </row>
    <row r="21" spans="1:2" x14ac:dyDescent="0.35">
      <c r="A21" s="13">
        <v>43617</v>
      </c>
      <c r="B21" s="16">
        <v>0.97</v>
      </c>
    </row>
    <row r="22" spans="1:2" x14ac:dyDescent="0.35">
      <c r="A22" s="13">
        <v>43647</v>
      </c>
      <c r="B22" s="16">
        <v>0.94</v>
      </c>
    </row>
    <row r="23" spans="1:2" x14ac:dyDescent="0.35">
      <c r="A23" s="13">
        <v>43678</v>
      </c>
      <c r="B23" s="16">
        <v>0.9</v>
      </c>
    </row>
    <row r="24" spans="1:2" x14ac:dyDescent="0.35">
      <c r="A24" s="13">
        <v>43709</v>
      </c>
      <c r="B24" s="16">
        <v>0.87</v>
      </c>
    </row>
    <row r="25" spans="1:2" x14ac:dyDescent="0.35">
      <c r="A25" s="13">
        <v>43739</v>
      </c>
      <c r="B25" s="16">
        <v>0.85</v>
      </c>
    </row>
    <row r="26" spans="1:2" x14ac:dyDescent="0.35">
      <c r="A26" s="13">
        <v>43770</v>
      </c>
      <c r="B26" s="16">
        <v>0.83</v>
      </c>
    </row>
    <row r="27" spans="1:2" x14ac:dyDescent="0.35">
      <c r="A27" s="13">
        <v>43800</v>
      </c>
      <c r="B27" s="16">
        <v>0.81</v>
      </c>
    </row>
    <row r="28" spans="1:2" x14ac:dyDescent="0.35">
      <c r="A28" s="13">
        <v>43831</v>
      </c>
      <c r="B28" s="16">
        <v>0.77</v>
      </c>
    </row>
    <row r="29" spans="1:2" x14ac:dyDescent="0.35">
      <c r="A29" s="13">
        <v>43862</v>
      </c>
      <c r="B29" s="16">
        <v>0.69</v>
      </c>
    </row>
    <row r="30" spans="1:2" x14ac:dyDescent="0.35">
      <c r="A30" s="13">
        <v>43891</v>
      </c>
      <c r="B30" s="16">
        <v>0.62</v>
      </c>
    </row>
    <row r="31" spans="1:2" x14ac:dyDescent="0.35">
      <c r="A31" s="13">
        <v>43922</v>
      </c>
      <c r="B31" s="16">
        <v>0.51</v>
      </c>
    </row>
    <row r="32" spans="1:2" x14ac:dyDescent="0.35">
      <c r="A32" s="13">
        <v>43952</v>
      </c>
      <c r="B32" s="16">
        <v>0.43</v>
      </c>
    </row>
    <row r="33" spans="1:2" x14ac:dyDescent="0.35">
      <c r="A33" s="13">
        <v>43983</v>
      </c>
      <c r="B33" s="16">
        <v>0.39</v>
      </c>
    </row>
    <row r="34" spans="1:2" x14ac:dyDescent="0.35">
      <c r="A34" s="13">
        <v>44013</v>
      </c>
      <c r="B34" s="16">
        <v>0.43</v>
      </c>
    </row>
    <row r="35" spans="1:2" x14ac:dyDescent="0.35">
      <c r="A35" s="13">
        <v>44044</v>
      </c>
      <c r="B35" s="16">
        <v>0.49</v>
      </c>
    </row>
    <row r="36" spans="1:2" x14ac:dyDescent="0.35">
      <c r="A36" s="13">
        <v>44075</v>
      </c>
      <c r="B36" s="16">
        <v>0.55000000000000004</v>
      </c>
    </row>
    <row r="37" spans="1:2" x14ac:dyDescent="0.35">
      <c r="A37" s="13">
        <v>44105</v>
      </c>
      <c r="B37" s="16">
        <v>0.61</v>
      </c>
    </row>
    <row r="38" spans="1:2" x14ac:dyDescent="0.35">
      <c r="A38" s="13">
        <v>44136</v>
      </c>
      <c r="B38" s="16">
        <v>0.67</v>
      </c>
    </row>
    <row r="39" spans="1:2" x14ac:dyDescent="0.35">
      <c r="A39" s="13">
        <v>44166</v>
      </c>
      <c r="B39" s="16">
        <v>0.72</v>
      </c>
    </row>
    <row r="40" spans="1:2" x14ac:dyDescent="0.35">
      <c r="A40" s="13">
        <v>44197</v>
      </c>
      <c r="B40" s="16">
        <v>0.75</v>
      </c>
    </row>
    <row r="41" spans="1:2" x14ac:dyDescent="0.35">
      <c r="A41" s="13">
        <v>44228</v>
      </c>
      <c r="B41" s="16">
        <v>0.77</v>
      </c>
    </row>
    <row r="42" spans="1:2" x14ac:dyDescent="0.35">
      <c r="A42" s="13">
        <v>44256</v>
      </c>
      <c r="B42" s="16">
        <v>0.78</v>
      </c>
    </row>
    <row r="43" spans="1:2" x14ac:dyDescent="0.35">
      <c r="A43" s="13">
        <v>44287</v>
      </c>
      <c r="B43" s="16">
        <v>0.84</v>
      </c>
    </row>
    <row r="44" spans="1:2" x14ac:dyDescent="0.35">
      <c r="A44" s="13">
        <v>44317</v>
      </c>
      <c r="B44" s="16">
        <v>0.95</v>
      </c>
    </row>
    <row r="45" spans="1:2" x14ac:dyDescent="0.35">
      <c r="A45" s="13">
        <v>44348</v>
      </c>
      <c r="B45" s="16">
        <v>1.08</v>
      </c>
    </row>
    <row r="46" spans="1:2" x14ac:dyDescent="0.35">
      <c r="A46" s="13">
        <v>44378</v>
      </c>
      <c r="B46" s="16">
        <v>1.18</v>
      </c>
    </row>
    <row r="47" spans="1:2" x14ac:dyDescent="0.35">
      <c r="A47" s="13">
        <v>44409</v>
      </c>
      <c r="B47" s="16">
        <v>1.26</v>
      </c>
    </row>
    <row r="48" spans="1:2" x14ac:dyDescent="0.35">
      <c r="A48" s="13">
        <v>44440</v>
      </c>
      <c r="B48" s="16">
        <v>1.31</v>
      </c>
    </row>
    <row r="49" spans="1:2" x14ac:dyDescent="0.35">
      <c r="A49" s="13">
        <v>44470</v>
      </c>
      <c r="B49" s="16">
        <v>1.28</v>
      </c>
    </row>
    <row r="50" spans="1:2" x14ac:dyDescent="0.35">
      <c r="A50" s="13">
        <v>44501</v>
      </c>
      <c r="B50" s="16">
        <v>1.21</v>
      </c>
    </row>
    <row r="51" spans="1:2" x14ac:dyDescent="0.35">
      <c r="A51" s="13">
        <v>44531</v>
      </c>
      <c r="B51" s="16">
        <v>1.1399999999999999</v>
      </c>
    </row>
    <row r="52" spans="1:2" x14ac:dyDescent="0.35">
      <c r="A52" s="13">
        <v>44562</v>
      </c>
      <c r="B52" s="16">
        <v>1.1599999999999999</v>
      </c>
    </row>
    <row r="53" spans="1:2" x14ac:dyDescent="0.35">
      <c r="A53" s="13">
        <v>44593</v>
      </c>
      <c r="B53" s="16">
        <v>1.22</v>
      </c>
    </row>
    <row r="54" spans="1:2" x14ac:dyDescent="0.35">
      <c r="A54" s="13">
        <v>44621</v>
      </c>
      <c r="B54" s="16">
        <v>1.26</v>
      </c>
    </row>
    <row r="55" spans="1:2" x14ac:dyDescent="0.35">
      <c r="A55" s="13">
        <v>44652</v>
      </c>
      <c r="B55" s="16">
        <v>1.31</v>
      </c>
    </row>
    <row r="56" spans="1:2" x14ac:dyDescent="0.35">
      <c r="A56" s="13">
        <v>44682</v>
      </c>
      <c r="B56" s="16">
        <v>1.33</v>
      </c>
    </row>
    <row r="57" spans="1:2" x14ac:dyDescent="0.35">
      <c r="A57" s="13">
        <v>44713</v>
      </c>
      <c r="B57" s="16">
        <v>1.36</v>
      </c>
    </row>
    <row r="58" spans="1:2" x14ac:dyDescent="0.35">
      <c r="A58" s="13">
        <v>44743</v>
      </c>
      <c r="B58" s="16">
        <v>1.34</v>
      </c>
    </row>
    <row r="59" spans="1:2" x14ac:dyDescent="0.35">
      <c r="A59" s="13">
        <v>44774</v>
      </c>
      <c r="B59" s="16">
        <v>1.33</v>
      </c>
    </row>
    <row r="60" spans="1:2" x14ac:dyDescent="0.35">
      <c r="A60" s="13">
        <v>44805</v>
      </c>
      <c r="B60" s="16">
        <v>1.26</v>
      </c>
    </row>
    <row r="61" spans="1:2" x14ac:dyDescent="0.35">
      <c r="A61" s="13">
        <v>44835</v>
      </c>
      <c r="B61" s="16">
        <v>1.18</v>
      </c>
    </row>
    <row r="62" spans="1:2" x14ac:dyDescent="0.35">
      <c r="A62" s="13">
        <v>44866</v>
      </c>
      <c r="B62" s="16">
        <v>1.1299999999999999</v>
      </c>
    </row>
    <row r="63" spans="1:2" x14ac:dyDescent="0.35">
      <c r="A63" s="13">
        <v>44896</v>
      </c>
      <c r="B63" s="16">
        <v>1.08</v>
      </c>
    </row>
    <row r="64" spans="1:2" x14ac:dyDescent="0.35">
      <c r="A64" s="13">
        <v>44927</v>
      </c>
      <c r="B64" s="16">
        <v>1.04</v>
      </c>
    </row>
    <row r="65" spans="1:2" x14ac:dyDescent="0.35">
      <c r="A65" s="13">
        <v>44958</v>
      </c>
      <c r="B65" s="16">
        <v>1.04</v>
      </c>
    </row>
    <row r="66" spans="1:2" x14ac:dyDescent="0.35">
      <c r="A66" s="13">
        <v>44986</v>
      </c>
      <c r="B66" s="16">
        <v>1.04</v>
      </c>
    </row>
    <row r="67" spans="1:2" x14ac:dyDescent="0.35">
      <c r="A67" s="13">
        <v>45017</v>
      </c>
      <c r="B67" s="16">
        <v>1.05</v>
      </c>
    </row>
    <row r="68" spans="1:2" x14ac:dyDescent="0.35">
      <c r="A68" s="13">
        <v>45047</v>
      </c>
      <c r="B68" s="16">
        <v>1</v>
      </c>
    </row>
    <row r="69" spans="1:2" x14ac:dyDescent="0.35">
      <c r="A69" s="13">
        <v>45078</v>
      </c>
      <c r="B69" s="16">
        <v>0.92</v>
      </c>
    </row>
    <row r="70" spans="1:2" x14ac:dyDescent="0.35">
      <c r="A70" s="13">
        <v>45108</v>
      </c>
      <c r="B70" s="16">
        <v>0.86</v>
      </c>
    </row>
    <row r="71" spans="1:2" x14ac:dyDescent="0.35">
      <c r="A71" s="13">
        <v>45139</v>
      </c>
      <c r="B71" s="16">
        <v>0.81</v>
      </c>
    </row>
    <row r="72" spans="1:2" x14ac:dyDescent="0.35">
      <c r="A72" s="13">
        <v>45170</v>
      </c>
      <c r="B72" s="16">
        <v>0.84</v>
      </c>
    </row>
    <row r="73" spans="1:2" x14ac:dyDescent="0.35">
      <c r="A73" s="13">
        <v>45200</v>
      </c>
      <c r="B73" s="16">
        <v>0.82</v>
      </c>
    </row>
    <row r="74" spans="1:2" x14ac:dyDescent="0.35">
      <c r="A74" s="13">
        <v>45231</v>
      </c>
      <c r="B74" s="16">
        <v>0.84</v>
      </c>
    </row>
    <row r="75" spans="1:2" x14ac:dyDescent="0.35">
      <c r="A75" s="13">
        <v>45261</v>
      </c>
      <c r="B75" s="16">
        <v>0.85</v>
      </c>
    </row>
    <row r="76" spans="1:2" x14ac:dyDescent="0.35">
      <c r="A76" s="13">
        <v>45292</v>
      </c>
      <c r="B76" s="16">
        <v>0.87</v>
      </c>
    </row>
    <row r="77" spans="1:2" x14ac:dyDescent="0.35">
      <c r="A77" s="13">
        <v>45323</v>
      </c>
      <c r="B77" s="16">
        <v>0.89</v>
      </c>
    </row>
    <row r="78" spans="1:2" x14ac:dyDescent="0.35">
      <c r="A78" s="13">
        <v>45352</v>
      </c>
      <c r="B78" s="16">
        <v>0.95</v>
      </c>
    </row>
    <row r="79" spans="1:2" x14ac:dyDescent="0.35">
      <c r="A79" s="13">
        <v>45383</v>
      </c>
      <c r="B79" s="16">
        <v>0.98</v>
      </c>
    </row>
    <row r="80" spans="1:2" x14ac:dyDescent="0.35">
      <c r="A80" s="13">
        <v>45413</v>
      </c>
      <c r="B80" s="16">
        <v>1.03</v>
      </c>
    </row>
    <row r="81" spans="1:2" x14ac:dyDescent="0.35">
      <c r="A81" s="13">
        <v>45444</v>
      </c>
      <c r="B81" s="16">
        <v>1.08</v>
      </c>
    </row>
    <row r="82" spans="1:2" x14ac:dyDescent="0.35">
      <c r="A82" s="13">
        <v>45474</v>
      </c>
      <c r="B82" s="16">
        <v>1.1000000000000001</v>
      </c>
    </row>
    <row r="83" spans="1:2" x14ac:dyDescent="0.35">
      <c r="A83" s="13">
        <v>45505</v>
      </c>
      <c r="B83" s="16">
        <v>1.1299999999999999</v>
      </c>
    </row>
    <row r="84" spans="1:2" x14ac:dyDescent="0.35">
      <c r="A84" s="13">
        <v>45536</v>
      </c>
      <c r="B84" s="16">
        <v>1.1499999999999999</v>
      </c>
    </row>
    <row r="85" spans="1:2" x14ac:dyDescent="0.35">
      <c r="A85" s="13">
        <v>45566</v>
      </c>
      <c r="B85" s="16">
        <v>1.1299999999999999</v>
      </c>
    </row>
    <row r="86" spans="1:2" x14ac:dyDescent="0.35">
      <c r="A86" s="13">
        <v>45597</v>
      </c>
      <c r="B86" s="16">
        <v>1.1000000000000001</v>
      </c>
    </row>
    <row r="87" spans="1:2" x14ac:dyDescent="0.35">
      <c r="A87" s="13">
        <v>45627</v>
      </c>
      <c r="B87" s="16">
        <v>1.1100000000000001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5707-A7A2-4F8C-92F8-C46765EF4E52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>
        <v>1.06</v>
      </c>
    </row>
    <row r="8" spans="1:2" x14ac:dyDescent="0.35">
      <c r="A8" s="13">
        <v>43191</v>
      </c>
      <c r="B8" s="16">
        <v>1.1399999999999999</v>
      </c>
    </row>
    <row r="9" spans="1:2" x14ac:dyDescent="0.35">
      <c r="A9" s="13">
        <v>43221</v>
      </c>
      <c r="B9" s="16">
        <v>1.22</v>
      </c>
    </row>
    <row r="10" spans="1:2" x14ac:dyDescent="0.35">
      <c r="A10" s="13">
        <v>43252</v>
      </c>
      <c r="B10" s="16">
        <v>1.2</v>
      </c>
    </row>
    <row r="11" spans="1:2" x14ac:dyDescent="0.35">
      <c r="A11" s="13">
        <v>43282</v>
      </c>
      <c r="B11" s="16">
        <v>1.28</v>
      </c>
    </row>
    <row r="12" spans="1:2" x14ac:dyDescent="0.35">
      <c r="A12" s="13">
        <v>43313</v>
      </c>
      <c r="B12" s="16">
        <v>1.32</v>
      </c>
    </row>
    <row r="13" spans="1:2" x14ac:dyDescent="0.35">
      <c r="A13" s="13">
        <v>43344</v>
      </c>
      <c r="B13" s="16">
        <v>1.34</v>
      </c>
    </row>
    <row r="14" spans="1:2" x14ac:dyDescent="0.35">
      <c r="A14" s="13">
        <v>43374</v>
      </c>
      <c r="B14" s="16">
        <v>1.3</v>
      </c>
    </row>
    <row r="15" spans="1:2" x14ac:dyDescent="0.35">
      <c r="A15" s="13">
        <v>43405</v>
      </c>
      <c r="B15" s="16">
        <v>1.22</v>
      </c>
    </row>
    <row r="16" spans="1:2" x14ac:dyDescent="0.35">
      <c r="A16" s="13">
        <v>43435</v>
      </c>
      <c r="B16" s="16">
        <v>1.1200000000000001</v>
      </c>
    </row>
    <row r="17" spans="1:2" x14ac:dyDescent="0.35">
      <c r="A17" s="13">
        <v>43466</v>
      </c>
      <c r="B17" s="16">
        <v>1.04</v>
      </c>
    </row>
    <row r="18" spans="1:2" x14ac:dyDescent="0.35">
      <c r="A18" s="13">
        <v>43497</v>
      </c>
      <c r="B18" s="16">
        <v>0.98</v>
      </c>
    </row>
    <row r="19" spans="1:2" x14ac:dyDescent="0.35">
      <c r="A19" s="13">
        <v>43525</v>
      </c>
      <c r="B19" s="16">
        <v>0.97</v>
      </c>
    </row>
    <row r="20" spans="1:2" x14ac:dyDescent="0.35">
      <c r="A20" s="13">
        <v>43556</v>
      </c>
      <c r="B20" s="16">
        <v>0.97</v>
      </c>
    </row>
    <row r="21" spans="1:2" x14ac:dyDescent="0.35">
      <c r="A21" s="13">
        <v>43586</v>
      </c>
      <c r="B21" s="16">
        <v>0.97</v>
      </c>
    </row>
    <row r="22" spans="1:2" x14ac:dyDescent="0.35">
      <c r="A22" s="13">
        <v>43617</v>
      </c>
      <c r="B22" s="16">
        <v>0.94</v>
      </c>
    </row>
    <row r="23" spans="1:2" x14ac:dyDescent="0.35">
      <c r="A23" s="13">
        <v>43647</v>
      </c>
      <c r="B23" s="16">
        <v>0.9</v>
      </c>
    </row>
    <row r="24" spans="1:2" x14ac:dyDescent="0.35">
      <c r="A24" s="13">
        <v>43678</v>
      </c>
      <c r="B24" s="16">
        <v>0.85</v>
      </c>
    </row>
    <row r="25" spans="1:2" x14ac:dyDescent="0.35">
      <c r="A25" s="13">
        <v>43709</v>
      </c>
      <c r="B25" s="16">
        <v>0.83</v>
      </c>
    </row>
    <row r="26" spans="1:2" x14ac:dyDescent="0.35">
      <c r="A26" s="13">
        <v>43739</v>
      </c>
      <c r="B26" s="16">
        <v>0.85</v>
      </c>
    </row>
    <row r="27" spans="1:2" x14ac:dyDescent="0.35">
      <c r="A27" s="13">
        <v>43770</v>
      </c>
      <c r="B27" s="16">
        <v>0.88</v>
      </c>
    </row>
    <row r="28" spans="1:2" x14ac:dyDescent="0.35">
      <c r="A28" s="13">
        <v>43800</v>
      </c>
      <c r="B28" s="16">
        <v>0.91</v>
      </c>
    </row>
    <row r="29" spans="1:2" x14ac:dyDescent="0.35">
      <c r="A29" s="13">
        <v>43831</v>
      </c>
      <c r="B29" s="16">
        <v>0.89</v>
      </c>
    </row>
    <row r="30" spans="1:2" x14ac:dyDescent="0.35">
      <c r="A30" s="13">
        <v>43862</v>
      </c>
      <c r="B30" s="16">
        <v>0.83</v>
      </c>
    </row>
    <row r="31" spans="1:2" x14ac:dyDescent="0.35">
      <c r="A31" s="13">
        <v>43891</v>
      </c>
      <c r="B31" s="16">
        <v>0.77</v>
      </c>
    </row>
    <row r="32" spans="1:2" x14ac:dyDescent="0.35">
      <c r="A32" s="13">
        <v>43922</v>
      </c>
      <c r="B32" s="16">
        <v>0.68</v>
      </c>
    </row>
    <row r="33" spans="1:2" x14ac:dyDescent="0.35">
      <c r="A33" s="13">
        <v>43952</v>
      </c>
      <c r="B33" s="16">
        <v>0.6</v>
      </c>
    </row>
    <row r="34" spans="1:2" x14ac:dyDescent="0.35">
      <c r="A34" s="13">
        <v>43983</v>
      </c>
      <c r="B34" s="16">
        <v>0.61</v>
      </c>
    </row>
    <row r="35" spans="1:2" x14ac:dyDescent="0.35">
      <c r="A35" s="13">
        <v>44013</v>
      </c>
      <c r="B35" s="16">
        <v>0.65</v>
      </c>
    </row>
    <row r="36" spans="1:2" x14ac:dyDescent="0.35">
      <c r="A36" s="13">
        <v>44044</v>
      </c>
      <c r="B36" s="16">
        <v>0.69</v>
      </c>
    </row>
    <row r="37" spans="1:2" x14ac:dyDescent="0.35">
      <c r="A37" s="13">
        <v>44075</v>
      </c>
      <c r="B37" s="16">
        <v>0.78</v>
      </c>
    </row>
    <row r="38" spans="1:2" x14ac:dyDescent="0.35">
      <c r="A38" s="13">
        <v>44105</v>
      </c>
      <c r="B38" s="16">
        <v>0.83</v>
      </c>
    </row>
    <row r="39" spans="1:2" x14ac:dyDescent="0.35">
      <c r="A39" s="13">
        <v>44136</v>
      </c>
      <c r="B39" s="16">
        <v>0.89</v>
      </c>
    </row>
    <row r="40" spans="1:2" x14ac:dyDescent="0.35">
      <c r="A40" s="13">
        <v>44166</v>
      </c>
      <c r="B40" s="16">
        <v>0.91</v>
      </c>
    </row>
    <row r="41" spans="1:2" x14ac:dyDescent="0.35">
      <c r="A41" s="13">
        <v>44197</v>
      </c>
      <c r="B41" s="16">
        <v>0.94</v>
      </c>
    </row>
    <row r="42" spans="1:2" x14ac:dyDescent="0.35">
      <c r="A42" s="13">
        <v>44228</v>
      </c>
      <c r="B42" s="16">
        <v>0.96</v>
      </c>
    </row>
    <row r="43" spans="1:2" x14ac:dyDescent="0.35">
      <c r="A43" s="13">
        <v>44256</v>
      </c>
      <c r="B43" s="16">
        <v>0.97</v>
      </c>
    </row>
    <row r="44" spans="1:2" x14ac:dyDescent="0.35">
      <c r="A44" s="13">
        <v>44287</v>
      </c>
      <c r="B44" s="16">
        <v>0.97</v>
      </c>
    </row>
    <row r="45" spans="1:2" x14ac:dyDescent="0.35">
      <c r="A45" s="13">
        <v>44317</v>
      </c>
      <c r="B45" s="16">
        <v>0.99</v>
      </c>
    </row>
    <row r="46" spans="1:2" x14ac:dyDescent="0.35">
      <c r="A46" s="13">
        <v>44348</v>
      </c>
      <c r="B46" s="16">
        <v>1</v>
      </c>
    </row>
    <row r="47" spans="1:2" x14ac:dyDescent="0.35">
      <c r="A47" s="13">
        <v>44378</v>
      </c>
      <c r="B47" s="16">
        <v>1</v>
      </c>
    </row>
    <row r="48" spans="1:2" x14ac:dyDescent="0.35">
      <c r="A48" s="13">
        <v>44409</v>
      </c>
      <c r="B48" s="16">
        <v>1.04</v>
      </c>
    </row>
    <row r="49" spans="1:2" x14ac:dyDescent="0.35">
      <c r="A49" s="13">
        <v>44440</v>
      </c>
      <c r="B49" s="16">
        <v>1.06</v>
      </c>
    </row>
    <row r="50" spans="1:2" x14ac:dyDescent="0.35">
      <c r="A50" s="13">
        <v>44470</v>
      </c>
      <c r="B50" s="16">
        <v>1.1200000000000001</v>
      </c>
    </row>
    <row r="51" spans="1:2" x14ac:dyDescent="0.35">
      <c r="A51" s="13">
        <v>44501</v>
      </c>
      <c r="B51" s="16">
        <v>1.1499999999999999</v>
      </c>
    </row>
    <row r="52" spans="1:2" x14ac:dyDescent="0.35">
      <c r="A52" s="13">
        <v>44531</v>
      </c>
      <c r="B52" s="16">
        <v>1.1399999999999999</v>
      </c>
    </row>
    <row r="53" spans="1:2" x14ac:dyDescent="0.35">
      <c r="A53" s="13">
        <v>44562</v>
      </c>
      <c r="B53" s="16">
        <v>1.1399999999999999</v>
      </c>
    </row>
    <row r="54" spans="1:2" x14ac:dyDescent="0.35">
      <c r="A54" s="13">
        <v>44593</v>
      </c>
      <c r="B54" s="16">
        <v>1.1399999999999999</v>
      </c>
    </row>
    <row r="55" spans="1:2" x14ac:dyDescent="0.35">
      <c r="A55" s="13">
        <v>44621</v>
      </c>
      <c r="B55" s="16">
        <v>1.21</v>
      </c>
    </row>
    <row r="56" spans="1:2" x14ac:dyDescent="0.35">
      <c r="A56" s="13">
        <v>44652</v>
      </c>
      <c r="B56" s="16">
        <v>1.24</v>
      </c>
    </row>
    <row r="57" spans="1:2" x14ac:dyDescent="0.35">
      <c r="A57" s="13">
        <v>44682</v>
      </c>
      <c r="B57" s="16">
        <v>1.18</v>
      </c>
    </row>
    <row r="58" spans="1:2" x14ac:dyDescent="0.35">
      <c r="A58" s="13">
        <v>44713</v>
      </c>
      <c r="B58" s="16">
        <v>1.17</v>
      </c>
    </row>
    <row r="59" spans="1:2" x14ac:dyDescent="0.35">
      <c r="A59" s="13">
        <v>44743</v>
      </c>
      <c r="B59" s="16">
        <v>1.1499999999999999</v>
      </c>
    </row>
    <row r="60" spans="1:2" x14ac:dyDescent="0.35">
      <c r="A60" s="13">
        <v>44774</v>
      </c>
      <c r="B60" s="16">
        <v>1.07</v>
      </c>
    </row>
    <row r="61" spans="1:2" x14ac:dyDescent="0.35">
      <c r="A61" s="13">
        <v>44805</v>
      </c>
      <c r="B61" s="16">
        <v>1.05</v>
      </c>
    </row>
    <row r="62" spans="1:2" x14ac:dyDescent="0.35">
      <c r="A62" s="13">
        <v>44835</v>
      </c>
      <c r="B62" s="16">
        <v>1.02</v>
      </c>
    </row>
    <row r="63" spans="1:2" x14ac:dyDescent="0.35">
      <c r="A63" s="13">
        <v>44866</v>
      </c>
      <c r="B63" s="16">
        <v>1.07</v>
      </c>
    </row>
    <row r="64" spans="1:2" x14ac:dyDescent="0.35">
      <c r="A64" s="13">
        <v>44896</v>
      </c>
      <c r="B64" s="16">
        <v>1.1100000000000001</v>
      </c>
    </row>
    <row r="65" spans="1:2" x14ac:dyDescent="0.35">
      <c r="A65" s="13">
        <v>44927</v>
      </c>
      <c r="B65" s="16">
        <v>1.1499999999999999</v>
      </c>
    </row>
    <row r="66" spans="1:2" x14ac:dyDescent="0.35">
      <c r="A66" s="13">
        <v>44958</v>
      </c>
      <c r="B66" s="16">
        <v>1.19</v>
      </c>
    </row>
    <row r="67" spans="1:2" x14ac:dyDescent="0.35">
      <c r="A67" s="13">
        <v>44986</v>
      </c>
      <c r="B67" s="16">
        <v>1.19</v>
      </c>
    </row>
    <row r="68" spans="1:2" x14ac:dyDescent="0.35">
      <c r="A68" s="13">
        <v>45017</v>
      </c>
      <c r="B68" s="16">
        <v>1.19</v>
      </c>
    </row>
    <row r="69" spans="1:2" x14ac:dyDescent="0.35">
      <c r="A69" s="13">
        <v>45047</v>
      </c>
      <c r="B69" s="16">
        <v>1.1499999999999999</v>
      </c>
    </row>
    <row r="70" spans="1:2" x14ac:dyDescent="0.35">
      <c r="A70" s="13">
        <v>45078</v>
      </c>
      <c r="B70" s="16">
        <v>1.1000000000000001</v>
      </c>
    </row>
    <row r="71" spans="1:2" x14ac:dyDescent="0.35">
      <c r="A71" s="13">
        <v>45108</v>
      </c>
      <c r="B71" s="16">
        <v>1.1000000000000001</v>
      </c>
    </row>
    <row r="72" spans="1:2" x14ac:dyDescent="0.35">
      <c r="A72" s="13">
        <v>45139</v>
      </c>
      <c r="B72" s="16">
        <v>1.1000000000000001</v>
      </c>
    </row>
    <row r="73" spans="1:2" x14ac:dyDescent="0.35">
      <c r="A73" s="13">
        <v>45170</v>
      </c>
      <c r="B73" s="16">
        <v>1.1100000000000001</v>
      </c>
    </row>
    <row r="74" spans="1:2" x14ac:dyDescent="0.35">
      <c r="A74" s="13">
        <v>45200</v>
      </c>
      <c r="B74" s="16">
        <v>1.1200000000000001</v>
      </c>
    </row>
    <row r="75" spans="1:2" x14ac:dyDescent="0.35">
      <c r="A75" s="13">
        <v>45231</v>
      </c>
      <c r="B75" s="16">
        <v>1.1499999999999999</v>
      </c>
    </row>
    <row r="76" spans="1:2" x14ac:dyDescent="0.35">
      <c r="A76" s="13">
        <v>45261</v>
      </c>
      <c r="B76" s="16">
        <v>1.1499999999999999</v>
      </c>
    </row>
    <row r="77" spans="1:2" x14ac:dyDescent="0.35">
      <c r="A77" s="13">
        <v>45292</v>
      </c>
      <c r="B77" s="16">
        <v>1.1399999999999999</v>
      </c>
    </row>
    <row r="78" spans="1:2" x14ac:dyDescent="0.35">
      <c r="A78" s="13">
        <v>45323</v>
      </c>
      <c r="B78" s="16">
        <v>1.1499999999999999</v>
      </c>
    </row>
    <row r="79" spans="1:2" x14ac:dyDescent="0.35">
      <c r="A79" s="13">
        <v>45352</v>
      </c>
      <c r="B79" s="16">
        <v>1.1599999999999999</v>
      </c>
    </row>
    <row r="80" spans="1:2" x14ac:dyDescent="0.35">
      <c r="A80" s="13">
        <v>45383</v>
      </c>
      <c r="B80" s="16">
        <v>1.1200000000000001</v>
      </c>
    </row>
    <row r="81" spans="1:2" x14ac:dyDescent="0.35">
      <c r="A81" s="13">
        <v>45413</v>
      </c>
      <c r="B81" s="16">
        <v>1.1299999999999999</v>
      </c>
    </row>
    <row r="82" spans="1:2" x14ac:dyDescent="0.35">
      <c r="A82" s="13">
        <v>45444</v>
      </c>
      <c r="B82" s="16">
        <v>1.1399999999999999</v>
      </c>
    </row>
    <row r="83" spans="1:2" x14ac:dyDescent="0.35">
      <c r="A83" s="13">
        <v>45474</v>
      </c>
      <c r="B83" s="16">
        <v>1.1599999999999999</v>
      </c>
    </row>
    <row r="84" spans="1:2" x14ac:dyDescent="0.35">
      <c r="A84" s="13">
        <v>45505</v>
      </c>
      <c r="B84" s="16">
        <v>1.17</v>
      </c>
    </row>
    <row r="85" spans="1:2" x14ac:dyDescent="0.35">
      <c r="A85" s="13">
        <v>45536</v>
      </c>
      <c r="B85" s="16">
        <v>1.23</v>
      </c>
    </row>
    <row r="86" spans="1:2" x14ac:dyDescent="0.35">
      <c r="A86" s="13">
        <v>45566</v>
      </c>
      <c r="B86" s="16">
        <v>1.22</v>
      </c>
    </row>
    <row r="87" spans="1:2" x14ac:dyDescent="0.35">
      <c r="A87" s="13">
        <v>45597</v>
      </c>
      <c r="B87" s="16">
        <v>1.18</v>
      </c>
    </row>
    <row r="88" spans="1:2" x14ac:dyDescent="0.35">
      <c r="A88" s="13">
        <v>45627</v>
      </c>
      <c r="B88" s="16">
        <v>1.1599999999999999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8FF5-A75E-462C-BB3E-BD1B07D074DA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1.26</v>
      </c>
    </row>
    <row r="6" spans="1:2" x14ac:dyDescent="0.35">
      <c r="A6" s="13">
        <v>43132</v>
      </c>
      <c r="B6" s="16">
        <v>1.28</v>
      </c>
    </row>
    <row r="7" spans="1:2" x14ac:dyDescent="0.35">
      <c r="A7" s="13">
        <v>43160</v>
      </c>
      <c r="B7" s="16">
        <v>1.28</v>
      </c>
    </row>
    <row r="8" spans="1:2" x14ac:dyDescent="0.35">
      <c r="A8" s="13">
        <v>43191</v>
      </c>
      <c r="B8" s="16">
        <v>1.33</v>
      </c>
    </row>
    <row r="9" spans="1:2" x14ac:dyDescent="0.35">
      <c r="A9" s="13">
        <v>43221</v>
      </c>
      <c r="B9" s="16">
        <v>1.34</v>
      </c>
    </row>
    <row r="10" spans="1:2" x14ac:dyDescent="0.35">
      <c r="A10" s="13">
        <v>43252</v>
      </c>
      <c r="B10" s="16">
        <v>1.36</v>
      </c>
    </row>
    <row r="11" spans="1:2" x14ac:dyDescent="0.35">
      <c r="A11" s="13">
        <v>43282</v>
      </c>
      <c r="B11" s="16">
        <v>1.4</v>
      </c>
    </row>
    <row r="12" spans="1:2" x14ac:dyDescent="0.35">
      <c r="A12" s="13">
        <v>43313</v>
      </c>
      <c r="B12" s="16">
        <v>1.42</v>
      </c>
    </row>
    <row r="13" spans="1:2" x14ac:dyDescent="0.35">
      <c r="A13" s="13">
        <v>43344</v>
      </c>
      <c r="B13" s="16">
        <v>1.46</v>
      </c>
    </row>
    <row r="14" spans="1:2" x14ac:dyDescent="0.35">
      <c r="A14" s="13">
        <v>43374</v>
      </c>
      <c r="B14" s="16">
        <v>1.48</v>
      </c>
    </row>
    <row r="15" spans="1:2" x14ac:dyDescent="0.35">
      <c r="A15" s="13">
        <v>43405</v>
      </c>
      <c r="B15" s="16">
        <v>1.46</v>
      </c>
    </row>
    <row r="16" spans="1:2" x14ac:dyDescent="0.35">
      <c r="A16" s="13">
        <v>43435</v>
      </c>
      <c r="B16" s="16">
        <v>1.46</v>
      </c>
    </row>
    <row r="17" spans="1:2" x14ac:dyDescent="0.35">
      <c r="A17" s="13">
        <v>43466</v>
      </c>
      <c r="B17" s="16">
        <v>1.46</v>
      </c>
    </row>
    <row r="18" spans="1:2" x14ac:dyDescent="0.35">
      <c r="A18" s="13">
        <v>43497</v>
      </c>
      <c r="B18" s="16">
        <v>1.46</v>
      </c>
    </row>
    <row r="19" spans="1:2" x14ac:dyDescent="0.35">
      <c r="A19" s="13">
        <v>43525</v>
      </c>
      <c r="B19" s="16">
        <v>1.45</v>
      </c>
    </row>
    <row r="20" spans="1:2" x14ac:dyDescent="0.35">
      <c r="A20" s="13">
        <v>43556</v>
      </c>
      <c r="B20" s="16">
        <v>1.41</v>
      </c>
    </row>
    <row r="21" spans="1:2" x14ac:dyDescent="0.35">
      <c r="A21" s="13">
        <v>43586</v>
      </c>
      <c r="B21" s="16">
        <v>1.38</v>
      </c>
    </row>
    <row r="22" spans="1:2" x14ac:dyDescent="0.35">
      <c r="A22" s="13">
        <v>43617</v>
      </c>
      <c r="B22" s="16">
        <v>1.37</v>
      </c>
    </row>
    <row r="23" spans="1:2" x14ac:dyDescent="0.35">
      <c r="A23" s="13">
        <v>43647</v>
      </c>
      <c r="B23" s="16">
        <v>1.31</v>
      </c>
    </row>
    <row r="24" spans="1:2" x14ac:dyDescent="0.35">
      <c r="A24" s="13">
        <v>43678</v>
      </c>
      <c r="B24" s="16">
        <v>1.28</v>
      </c>
    </row>
    <row r="25" spans="1:2" x14ac:dyDescent="0.35">
      <c r="A25" s="13">
        <v>43709</v>
      </c>
      <c r="B25" s="16">
        <v>1.23</v>
      </c>
    </row>
    <row r="26" spans="1:2" x14ac:dyDescent="0.35">
      <c r="A26" s="13">
        <v>43739</v>
      </c>
      <c r="B26" s="16">
        <v>1.21</v>
      </c>
    </row>
    <row r="27" spans="1:2" x14ac:dyDescent="0.35">
      <c r="A27" s="13">
        <v>43770</v>
      </c>
      <c r="B27" s="16">
        <v>1.19</v>
      </c>
    </row>
    <row r="28" spans="1:2" x14ac:dyDescent="0.35">
      <c r="A28" s="13">
        <v>43800</v>
      </c>
      <c r="B28" s="16">
        <v>1.2</v>
      </c>
    </row>
    <row r="29" spans="1:2" x14ac:dyDescent="0.35">
      <c r="A29" s="13">
        <v>43831</v>
      </c>
      <c r="B29" s="16">
        <v>1.21</v>
      </c>
    </row>
    <row r="30" spans="1:2" x14ac:dyDescent="0.35">
      <c r="A30" s="13">
        <v>43862</v>
      </c>
      <c r="B30" s="16">
        <v>1.18</v>
      </c>
    </row>
    <row r="31" spans="1:2" x14ac:dyDescent="0.35">
      <c r="A31" s="13">
        <v>43891</v>
      </c>
      <c r="B31" s="16">
        <v>1.2</v>
      </c>
    </row>
    <row r="32" spans="1:2" x14ac:dyDescent="0.35">
      <c r="A32" s="13">
        <v>43922</v>
      </c>
      <c r="B32" s="16">
        <v>1.1599999999999999</v>
      </c>
    </row>
    <row r="33" spans="1:2" x14ac:dyDescent="0.35">
      <c r="A33" s="13">
        <v>43952</v>
      </c>
      <c r="B33" s="16">
        <v>1.1299999999999999</v>
      </c>
    </row>
    <row r="34" spans="1:2" x14ac:dyDescent="0.35">
      <c r="A34" s="13">
        <v>43983</v>
      </c>
      <c r="B34" s="16">
        <v>1.1100000000000001</v>
      </c>
    </row>
    <row r="35" spans="1:2" x14ac:dyDescent="0.35">
      <c r="A35" s="13">
        <v>44013</v>
      </c>
      <c r="B35" s="16">
        <v>1.1100000000000001</v>
      </c>
    </row>
    <row r="36" spans="1:2" x14ac:dyDescent="0.35">
      <c r="A36" s="13">
        <v>44044</v>
      </c>
      <c r="B36" s="16">
        <v>1.1200000000000001</v>
      </c>
    </row>
    <row r="37" spans="1:2" x14ac:dyDescent="0.35">
      <c r="A37" s="13">
        <v>44075</v>
      </c>
      <c r="B37" s="16">
        <v>1.1499999999999999</v>
      </c>
    </row>
    <row r="38" spans="1:2" x14ac:dyDescent="0.35">
      <c r="A38" s="13">
        <v>44105</v>
      </c>
      <c r="B38" s="16">
        <v>1.18</v>
      </c>
    </row>
    <row r="39" spans="1:2" x14ac:dyDescent="0.35">
      <c r="A39" s="13">
        <v>44136</v>
      </c>
      <c r="B39" s="16">
        <v>1.19</v>
      </c>
    </row>
    <row r="40" spans="1:2" x14ac:dyDescent="0.35">
      <c r="A40" s="13">
        <v>44166</v>
      </c>
      <c r="B40" s="16">
        <v>1.21</v>
      </c>
    </row>
    <row r="41" spans="1:2" x14ac:dyDescent="0.35">
      <c r="A41" s="13">
        <v>44197</v>
      </c>
      <c r="B41" s="16">
        <v>1.25</v>
      </c>
    </row>
    <row r="42" spans="1:2" x14ac:dyDescent="0.35">
      <c r="A42" s="13">
        <v>44228</v>
      </c>
      <c r="B42" s="16">
        <v>1.28</v>
      </c>
    </row>
    <row r="43" spans="1:2" x14ac:dyDescent="0.35">
      <c r="A43" s="13">
        <v>44256</v>
      </c>
      <c r="B43" s="16">
        <v>1.31</v>
      </c>
    </row>
    <row r="44" spans="1:2" x14ac:dyDescent="0.35">
      <c r="A44" s="13">
        <v>44287</v>
      </c>
      <c r="B44" s="16">
        <v>1.35</v>
      </c>
    </row>
    <row r="45" spans="1:2" x14ac:dyDescent="0.35">
      <c r="A45" s="13">
        <v>44317</v>
      </c>
      <c r="B45" s="16">
        <v>1.4</v>
      </c>
    </row>
    <row r="46" spans="1:2" x14ac:dyDescent="0.35">
      <c r="A46" s="13">
        <v>44348</v>
      </c>
      <c r="B46" s="16">
        <v>1.41</v>
      </c>
    </row>
    <row r="47" spans="1:2" x14ac:dyDescent="0.35">
      <c r="A47" s="13">
        <v>44378</v>
      </c>
      <c r="B47" s="16">
        <v>1.46</v>
      </c>
    </row>
    <row r="48" spans="1:2" x14ac:dyDescent="0.35">
      <c r="A48" s="13">
        <v>44409</v>
      </c>
      <c r="B48" s="16">
        <v>1.54</v>
      </c>
    </row>
    <row r="49" spans="1:2" x14ac:dyDescent="0.35">
      <c r="A49" s="13">
        <v>44440</v>
      </c>
      <c r="B49" s="16">
        <v>1.63</v>
      </c>
    </row>
    <row r="50" spans="1:2" x14ac:dyDescent="0.35">
      <c r="A50" s="13">
        <v>44470</v>
      </c>
      <c r="B50" s="16">
        <v>1.65</v>
      </c>
    </row>
    <row r="51" spans="1:2" x14ac:dyDescent="0.35">
      <c r="A51" s="13">
        <v>44501</v>
      </c>
      <c r="B51" s="16">
        <v>1.65</v>
      </c>
    </row>
    <row r="52" spans="1:2" x14ac:dyDescent="0.35">
      <c r="A52" s="13">
        <v>44531</v>
      </c>
      <c r="B52" s="16">
        <v>1.66</v>
      </c>
    </row>
    <row r="53" spans="1:2" x14ac:dyDescent="0.35">
      <c r="A53" s="13">
        <v>44562</v>
      </c>
      <c r="B53" s="16">
        <v>1.69</v>
      </c>
    </row>
    <row r="54" spans="1:2" x14ac:dyDescent="0.35">
      <c r="A54" s="13">
        <v>44593</v>
      </c>
      <c r="B54" s="16">
        <v>1.71</v>
      </c>
    </row>
    <row r="55" spans="1:2" x14ac:dyDescent="0.35">
      <c r="A55" s="13">
        <v>44621</v>
      </c>
      <c r="B55" s="16">
        <v>1.7</v>
      </c>
    </row>
    <row r="56" spans="1:2" x14ac:dyDescent="0.35">
      <c r="A56" s="13">
        <v>44652</v>
      </c>
      <c r="B56" s="16">
        <v>1.73</v>
      </c>
    </row>
    <row r="57" spans="1:2" x14ac:dyDescent="0.35">
      <c r="A57" s="13">
        <v>44682</v>
      </c>
      <c r="B57" s="16">
        <v>1.73</v>
      </c>
    </row>
    <row r="58" spans="1:2" x14ac:dyDescent="0.35">
      <c r="A58" s="13">
        <v>44713</v>
      </c>
      <c r="B58" s="16">
        <v>1.79</v>
      </c>
    </row>
    <row r="59" spans="1:2" x14ac:dyDescent="0.35">
      <c r="A59" s="13">
        <v>44743</v>
      </c>
      <c r="B59" s="16">
        <v>1.75</v>
      </c>
    </row>
    <row r="60" spans="1:2" x14ac:dyDescent="0.35">
      <c r="A60" s="13">
        <v>44774</v>
      </c>
      <c r="B60" s="16">
        <v>1.74</v>
      </c>
    </row>
    <row r="61" spans="1:2" x14ac:dyDescent="0.35">
      <c r="A61" s="13">
        <v>44805</v>
      </c>
      <c r="B61" s="16">
        <v>1.72</v>
      </c>
    </row>
    <row r="62" spans="1:2" x14ac:dyDescent="0.35">
      <c r="A62" s="13">
        <v>44835</v>
      </c>
      <c r="B62" s="16">
        <v>1.66</v>
      </c>
    </row>
    <row r="63" spans="1:2" x14ac:dyDescent="0.35">
      <c r="A63" s="13">
        <v>44866</v>
      </c>
      <c r="B63" s="16">
        <v>1.65</v>
      </c>
    </row>
    <row r="64" spans="1:2" x14ac:dyDescent="0.35">
      <c r="A64" s="13">
        <v>44896</v>
      </c>
      <c r="B64" s="16">
        <v>1.66</v>
      </c>
    </row>
    <row r="65" spans="1:2" x14ac:dyDescent="0.35">
      <c r="A65" s="13">
        <v>44927</v>
      </c>
      <c r="B65" s="16">
        <v>1.65</v>
      </c>
    </row>
    <row r="66" spans="1:2" x14ac:dyDescent="0.35">
      <c r="A66" s="13">
        <v>44958</v>
      </c>
      <c r="B66" s="16">
        <v>1.65</v>
      </c>
    </row>
    <row r="67" spans="1:2" x14ac:dyDescent="0.35">
      <c r="A67" s="13">
        <v>44986</v>
      </c>
      <c r="B67" s="16">
        <v>1.67</v>
      </c>
    </row>
    <row r="68" spans="1:2" x14ac:dyDescent="0.35">
      <c r="A68" s="13">
        <v>45017</v>
      </c>
      <c r="B68" s="16">
        <v>1.74</v>
      </c>
    </row>
    <row r="69" spans="1:2" x14ac:dyDescent="0.35">
      <c r="A69" s="13">
        <v>45047</v>
      </c>
      <c r="B69" s="16">
        <v>1.74</v>
      </c>
    </row>
    <row r="70" spans="1:2" x14ac:dyDescent="0.35">
      <c r="A70" s="13">
        <v>45078</v>
      </c>
      <c r="B70" s="16">
        <v>1.73</v>
      </c>
    </row>
    <row r="71" spans="1:2" x14ac:dyDescent="0.35">
      <c r="A71" s="13">
        <v>45108</v>
      </c>
      <c r="B71" s="16">
        <v>1.7</v>
      </c>
    </row>
    <row r="72" spans="1:2" x14ac:dyDescent="0.35">
      <c r="A72" s="13">
        <v>45139</v>
      </c>
      <c r="B72" s="16">
        <v>1.64</v>
      </c>
    </row>
    <row r="73" spans="1:2" x14ac:dyDescent="0.35">
      <c r="A73" s="13">
        <v>45170</v>
      </c>
      <c r="B73" s="16">
        <v>1.62</v>
      </c>
    </row>
    <row r="74" spans="1:2" x14ac:dyDescent="0.35">
      <c r="A74" s="13">
        <v>45200</v>
      </c>
      <c r="B74" s="16">
        <v>1.62</v>
      </c>
    </row>
    <row r="75" spans="1:2" x14ac:dyDescent="0.35">
      <c r="A75" s="13">
        <v>45231</v>
      </c>
      <c r="B75" s="16">
        <v>1.64</v>
      </c>
    </row>
    <row r="76" spans="1:2" x14ac:dyDescent="0.35">
      <c r="A76" s="13">
        <v>45261</v>
      </c>
      <c r="B76" s="16">
        <v>1.68</v>
      </c>
    </row>
    <row r="77" spans="1:2" x14ac:dyDescent="0.35">
      <c r="A77" s="13">
        <v>45292</v>
      </c>
      <c r="B77" s="16">
        <v>1.66</v>
      </c>
    </row>
    <row r="78" spans="1:2" x14ac:dyDescent="0.35">
      <c r="A78" s="13">
        <v>45323</v>
      </c>
      <c r="B78" s="16">
        <v>1.59</v>
      </c>
    </row>
    <row r="79" spans="1:2" x14ac:dyDescent="0.35">
      <c r="A79" s="13">
        <v>45352</v>
      </c>
      <c r="B79" s="16">
        <v>1.6</v>
      </c>
    </row>
    <row r="80" spans="1:2" x14ac:dyDescent="0.35">
      <c r="A80" s="13">
        <v>45383</v>
      </c>
      <c r="B80" s="16">
        <v>1.61</v>
      </c>
    </row>
    <row r="81" spans="1:2" x14ac:dyDescent="0.35">
      <c r="A81" s="13">
        <v>45413</v>
      </c>
      <c r="B81" s="16">
        <v>1.64</v>
      </c>
    </row>
    <row r="82" spans="1:2" x14ac:dyDescent="0.35">
      <c r="A82" s="13">
        <v>45444</v>
      </c>
      <c r="B82" s="16">
        <v>1.64</v>
      </c>
    </row>
    <row r="83" spans="1:2" x14ac:dyDescent="0.35">
      <c r="A83" s="13">
        <v>45474</v>
      </c>
      <c r="B83" s="16">
        <v>1.64</v>
      </c>
    </row>
    <row r="84" spans="1:2" x14ac:dyDescent="0.35">
      <c r="A84" s="13">
        <v>45505</v>
      </c>
      <c r="B84" s="16">
        <v>1.65</v>
      </c>
    </row>
    <row r="85" spans="1:2" x14ac:dyDescent="0.35">
      <c r="A85" s="13">
        <v>45536</v>
      </c>
      <c r="B85" s="16">
        <v>1.65</v>
      </c>
    </row>
    <row r="86" spans="1:2" x14ac:dyDescent="0.35">
      <c r="A86" s="13">
        <v>45566</v>
      </c>
      <c r="B86" s="16">
        <v>1.61</v>
      </c>
    </row>
    <row r="87" spans="1:2" x14ac:dyDescent="0.35">
      <c r="A87" s="13">
        <v>45597</v>
      </c>
      <c r="B87" s="16">
        <v>1.62</v>
      </c>
    </row>
    <row r="88" spans="1:2" x14ac:dyDescent="0.35">
      <c r="A88" s="13">
        <v>45627</v>
      </c>
      <c r="B88" s="16">
        <v>1.68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83DB-E215-4EAA-8C95-E96E1A4F5BA2}">
  <dimension ref="A4:C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  <col min="3" max="3" width="14.08984375" customWidth="1"/>
  </cols>
  <sheetData>
    <row r="4" spans="1:3" x14ac:dyDescent="0.35">
      <c r="A4" s="14" t="s">
        <v>55</v>
      </c>
      <c r="B4" s="15" t="s">
        <v>194</v>
      </c>
      <c r="C4" s="15"/>
    </row>
    <row r="5" spans="1:3" x14ac:dyDescent="0.35">
      <c r="A5" s="13">
        <v>43101</v>
      </c>
      <c r="B5" s="16">
        <v>1.64</v>
      </c>
      <c r="C5" s="16"/>
    </row>
    <row r="6" spans="1:3" x14ac:dyDescent="0.35">
      <c r="A6" s="13">
        <v>43132</v>
      </c>
      <c r="B6" s="16">
        <v>1.64</v>
      </c>
      <c r="C6" s="16"/>
    </row>
    <row r="7" spans="1:3" x14ac:dyDescent="0.35">
      <c r="A7" s="13">
        <v>43160</v>
      </c>
      <c r="B7" s="16">
        <v>1.65</v>
      </c>
      <c r="C7" s="16"/>
    </row>
    <row r="8" spans="1:3" x14ac:dyDescent="0.35">
      <c r="A8" s="13">
        <v>43191</v>
      </c>
      <c r="B8" s="16">
        <v>1.66</v>
      </c>
      <c r="C8" s="16"/>
    </row>
    <row r="9" spans="1:3" x14ac:dyDescent="0.35">
      <c r="A9" s="13">
        <v>43221</v>
      </c>
      <c r="B9" s="16">
        <v>1.64</v>
      </c>
      <c r="C9" s="16"/>
    </row>
    <row r="10" spans="1:3" x14ac:dyDescent="0.35">
      <c r="A10" s="13">
        <v>43252</v>
      </c>
      <c r="B10" s="16">
        <v>1.65</v>
      </c>
      <c r="C10" s="16"/>
    </row>
    <row r="11" spans="1:3" x14ac:dyDescent="0.35">
      <c r="A11" s="13">
        <v>43282</v>
      </c>
      <c r="B11" s="16">
        <v>1.64</v>
      </c>
      <c r="C11" s="16"/>
    </row>
    <row r="12" spans="1:3" x14ac:dyDescent="0.35">
      <c r="A12" s="13">
        <v>43313</v>
      </c>
      <c r="B12" s="16">
        <v>1.62</v>
      </c>
      <c r="C12" s="16"/>
    </row>
    <row r="13" spans="1:3" x14ac:dyDescent="0.35">
      <c r="A13" s="13">
        <v>43344</v>
      </c>
      <c r="B13" s="16">
        <v>1.63</v>
      </c>
      <c r="C13" s="16"/>
    </row>
    <row r="14" spans="1:3" x14ac:dyDescent="0.35">
      <c r="A14" s="13">
        <v>43374</v>
      </c>
      <c r="B14" s="16">
        <v>1.6</v>
      </c>
      <c r="C14" s="16"/>
    </row>
    <row r="15" spans="1:3" x14ac:dyDescent="0.35">
      <c r="A15" s="13">
        <v>43405</v>
      </c>
      <c r="B15" s="16">
        <v>1.57</v>
      </c>
      <c r="C15" s="16"/>
    </row>
    <row r="16" spans="1:3" x14ac:dyDescent="0.35">
      <c r="A16" s="13">
        <v>43435</v>
      </c>
      <c r="B16" s="16">
        <v>1.56</v>
      </c>
      <c r="C16" s="16"/>
    </row>
    <row r="17" spans="1:3" x14ac:dyDescent="0.35">
      <c r="A17" s="13">
        <v>43466</v>
      </c>
      <c r="B17" s="16">
        <v>1.54</v>
      </c>
      <c r="C17" s="16"/>
    </row>
    <row r="18" spans="1:3" x14ac:dyDescent="0.35">
      <c r="A18" s="13">
        <v>43497</v>
      </c>
      <c r="B18" s="16">
        <v>1.52</v>
      </c>
      <c r="C18" s="16"/>
    </row>
    <row r="19" spans="1:3" x14ac:dyDescent="0.35">
      <c r="A19" s="13">
        <v>43525</v>
      </c>
      <c r="B19" s="16">
        <v>1.49</v>
      </c>
      <c r="C19" s="16"/>
    </row>
    <row r="20" spans="1:3" x14ac:dyDescent="0.35">
      <c r="A20" s="13">
        <v>43556</v>
      </c>
      <c r="B20" s="16">
        <v>1.45</v>
      </c>
      <c r="C20" s="16"/>
    </row>
    <row r="21" spans="1:3" x14ac:dyDescent="0.35">
      <c r="A21" s="13">
        <v>43586</v>
      </c>
      <c r="B21" s="16">
        <v>1.42</v>
      </c>
      <c r="C21" s="16"/>
    </row>
    <row r="22" spans="1:3" x14ac:dyDescent="0.35">
      <c r="A22" s="13">
        <v>43617</v>
      </c>
      <c r="B22" s="16">
        <v>1.39</v>
      </c>
      <c r="C22" s="16"/>
    </row>
    <row r="23" spans="1:3" x14ac:dyDescent="0.35">
      <c r="A23" s="13">
        <v>43647</v>
      </c>
      <c r="B23" s="16">
        <v>1.34</v>
      </c>
      <c r="C23" s="16"/>
    </row>
    <row r="24" spans="1:3" x14ac:dyDescent="0.35">
      <c r="A24" s="13">
        <v>43678</v>
      </c>
      <c r="B24" s="16">
        <v>1.3</v>
      </c>
      <c r="C24" s="16"/>
    </row>
    <row r="25" spans="1:3" x14ac:dyDescent="0.35">
      <c r="A25" s="13">
        <v>43709</v>
      </c>
      <c r="B25" s="16">
        <v>1.27</v>
      </c>
      <c r="C25" s="16"/>
    </row>
    <row r="26" spans="1:3" x14ac:dyDescent="0.35">
      <c r="A26" s="13">
        <v>43739</v>
      </c>
      <c r="B26" s="16">
        <v>1.27</v>
      </c>
      <c r="C26" s="16"/>
    </row>
    <row r="27" spans="1:3" x14ac:dyDescent="0.35">
      <c r="A27" s="13">
        <v>43770</v>
      </c>
      <c r="B27" s="16">
        <v>1.27</v>
      </c>
      <c r="C27" s="16"/>
    </row>
    <row r="28" spans="1:3" x14ac:dyDescent="0.35">
      <c r="A28" s="13">
        <v>43800</v>
      </c>
      <c r="B28" s="16">
        <v>1.28</v>
      </c>
      <c r="C28" s="16"/>
    </row>
    <row r="29" spans="1:3" x14ac:dyDescent="0.35">
      <c r="A29" s="13">
        <v>43831</v>
      </c>
      <c r="B29" s="16">
        <v>1.26</v>
      </c>
      <c r="C29" s="16"/>
    </row>
    <row r="30" spans="1:3" x14ac:dyDescent="0.35">
      <c r="A30" s="13">
        <v>43862</v>
      </c>
      <c r="B30" s="16">
        <v>1.22</v>
      </c>
      <c r="C30" s="16"/>
    </row>
    <row r="31" spans="1:3" x14ac:dyDescent="0.35">
      <c r="A31" s="13">
        <v>43891</v>
      </c>
      <c r="B31" s="16">
        <v>1.22</v>
      </c>
      <c r="C31" s="16"/>
    </row>
    <row r="32" spans="1:3" x14ac:dyDescent="0.35">
      <c r="A32" s="13">
        <v>43922</v>
      </c>
      <c r="B32" s="16">
        <v>1.17</v>
      </c>
      <c r="C32" s="16"/>
    </row>
    <row r="33" spans="1:3" x14ac:dyDescent="0.35">
      <c r="A33" s="13">
        <v>43952</v>
      </c>
      <c r="B33" s="16">
        <v>1.21</v>
      </c>
      <c r="C33" s="16"/>
    </row>
    <row r="34" spans="1:3" x14ac:dyDescent="0.35">
      <c r="A34" s="13">
        <v>43983</v>
      </c>
      <c r="B34" s="16">
        <v>1.1299999999999999</v>
      </c>
      <c r="C34" s="16"/>
    </row>
    <row r="35" spans="1:3" x14ac:dyDescent="0.35">
      <c r="A35" s="13">
        <v>44013</v>
      </c>
      <c r="B35" s="16">
        <v>1.1399999999999999</v>
      </c>
      <c r="C35" s="16"/>
    </row>
    <row r="36" spans="1:3" x14ac:dyDescent="0.35">
      <c r="A36" s="13">
        <v>44044</v>
      </c>
      <c r="B36" s="16">
        <v>1.17</v>
      </c>
      <c r="C36" s="16"/>
    </row>
    <row r="37" spans="1:3" x14ac:dyDescent="0.35">
      <c r="A37" s="13">
        <v>44075</v>
      </c>
      <c r="B37" s="16">
        <v>1.21</v>
      </c>
      <c r="C37" s="16"/>
    </row>
    <row r="38" spans="1:3" x14ac:dyDescent="0.35">
      <c r="A38" s="13">
        <v>44105</v>
      </c>
      <c r="B38" s="16">
        <v>1.29</v>
      </c>
      <c r="C38" s="16"/>
    </row>
    <row r="39" spans="1:3" x14ac:dyDescent="0.35">
      <c r="A39" s="13">
        <v>44136</v>
      </c>
      <c r="B39" s="16">
        <v>1.4</v>
      </c>
      <c r="C39" s="16"/>
    </row>
    <row r="40" spans="1:3" x14ac:dyDescent="0.35">
      <c r="A40" s="13">
        <v>44166</v>
      </c>
      <c r="B40" s="16">
        <v>1.52</v>
      </c>
      <c r="C40" s="16"/>
    </row>
    <row r="41" spans="1:3" x14ac:dyDescent="0.35">
      <c r="A41" s="13">
        <v>44197</v>
      </c>
      <c r="B41" s="16">
        <v>1.69</v>
      </c>
      <c r="C41" s="16"/>
    </row>
    <row r="42" spans="1:3" x14ac:dyDescent="0.35">
      <c r="A42" s="13">
        <v>44228</v>
      </c>
      <c r="B42" s="16">
        <v>1.93</v>
      </c>
      <c r="C42" s="16"/>
    </row>
    <row r="43" spans="1:3" x14ac:dyDescent="0.35">
      <c r="A43" s="13">
        <v>44256</v>
      </c>
      <c r="B43" s="16">
        <v>2.14</v>
      </c>
      <c r="C43" s="16"/>
    </row>
    <row r="44" spans="1:3" x14ac:dyDescent="0.35">
      <c r="A44" s="13">
        <v>44287</v>
      </c>
      <c r="B44" s="16">
        <v>2.38</v>
      </c>
      <c r="C44" s="16"/>
    </row>
    <row r="45" spans="1:3" x14ac:dyDescent="0.35">
      <c r="A45" s="13">
        <v>44317</v>
      </c>
      <c r="B45" s="16">
        <v>2.65</v>
      </c>
      <c r="C45" s="16"/>
    </row>
    <row r="46" spans="1:3" x14ac:dyDescent="0.35">
      <c r="A46" s="13">
        <v>44348</v>
      </c>
      <c r="B46" s="16">
        <v>2.72</v>
      </c>
      <c r="C46" s="16"/>
    </row>
    <row r="47" spans="1:3" x14ac:dyDescent="0.35">
      <c r="A47" s="13">
        <v>44378</v>
      </c>
      <c r="B47" s="16">
        <v>2.67</v>
      </c>
      <c r="C47" s="16"/>
    </row>
    <row r="48" spans="1:3" x14ac:dyDescent="0.35">
      <c r="A48" s="13">
        <v>44409</v>
      </c>
      <c r="B48" s="16">
        <v>2.67</v>
      </c>
      <c r="C48" s="16"/>
    </row>
    <row r="49" spans="1:3" x14ac:dyDescent="0.35">
      <c r="A49" s="13">
        <v>44440</v>
      </c>
      <c r="B49" s="16">
        <v>2.69</v>
      </c>
      <c r="C49" s="16"/>
    </row>
    <row r="50" spans="1:3" x14ac:dyDescent="0.35">
      <c r="A50" s="13">
        <v>44470</v>
      </c>
      <c r="B50" s="16">
        <v>2.76</v>
      </c>
      <c r="C50" s="16"/>
    </row>
    <row r="51" spans="1:3" x14ac:dyDescent="0.35">
      <c r="A51" s="13">
        <v>44501</v>
      </c>
      <c r="B51" s="16">
        <v>2.85</v>
      </c>
      <c r="C51" s="16"/>
    </row>
    <row r="52" spans="1:3" x14ac:dyDescent="0.35">
      <c r="A52" s="13">
        <v>44531</v>
      </c>
      <c r="B52" s="16">
        <v>2.97</v>
      </c>
      <c r="C52" s="16"/>
    </row>
    <row r="53" spans="1:3" x14ac:dyDescent="0.35">
      <c r="A53" s="13">
        <v>44562</v>
      </c>
      <c r="B53" s="16">
        <v>3.07</v>
      </c>
      <c r="C53" s="16"/>
    </row>
    <row r="54" spans="1:3" x14ac:dyDescent="0.35">
      <c r="A54" s="13">
        <v>44593</v>
      </c>
      <c r="B54" s="16">
        <v>3.14</v>
      </c>
      <c r="C54" s="16"/>
    </row>
    <row r="55" spans="1:3" x14ac:dyDescent="0.35">
      <c r="A55" s="13">
        <v>44621</v>
      </c>
      <c r="B55" s="16">
        <v>3.04</v>
      </c>
      <c r="C55" s="16"/>
    </row>
    <row r="56" spans="1:3" x14ac:dyDescent="0.35">
      <c r="A56" s="13">
        <v>44652</v>
      </c>
      <c r="B56" s="16">
        <v>2.9</v>
      </c>
      <c r="C56" s="16"/>
    </row>
    <row r="57" spans="1:3" x14ac:dyDescent="0.35">
      <c r="A57" s="13">
        <v>44682</v>
      </c>
      <c r="B57" s="16">
        <v>2.76</v>
      </c>
      <c r="C57" s="16"/>
    </row>
    <row r="58" spans="1:3" x14ac:dyDescent="0.35">
      <c r="A58" s="13">
        <v>44713</v>
      </c>
      <c r="B58" s="16">
        <v>2.72</v>
      </c>
      <c r="C58" s="16"/>
    </row>
    <row r="59" spans="1:3" x14ac:dyDescent="0.35">
      <c r="A59" s="13">
        <v>44743</v>
      </c>
      <c r="B59" s="16">
        <v>2.57</v>
      </c>
      <c r="C59" s="16"/>
    </row>
    <row r="60" spans="1:3" x14ac:dyDescent="0.35">
      <c r="A60" s="13">
        <v>44774</v>
      </c>
      <c r="B60" s="16">
        <v>2.46</v>
      </c>
      <c r="C60" s="16"/>
    </row>
    <row r="61" spans="1:3" x14ac:dyDescent="0.35">
      <c r="A61" s="13">
        <v>44805</v>
      </c>
      <c r="B61" s="16">
        <v>2.36</v>
      </c>
      <c r="C61" s="16"/>
    </row>
    <row r="62" spans="1:3" x14ac:dyDescent="0.35">
      <c r="A62" s="13">
        <v>44835</v>
      </c>
      <c r="B62" s="16">
        <v>2.25</v>
      </c>
      <c r="C62" s="16"/>
    </row>
    <row r="63" spans="1:3" x14ac:dyDescent="0.35">
      <c r="A63" s="13">
        <v>44866</v>
      </c>
      <c r="B63" s="16">
        <v>2.23</v>
      </c>
      <c r="C63" s="16"/>
    </row>
    <row r="64" spans="1:3" x14ac:dyDescent="0.35">
      <c r="A64" s="13">
        <v>44896</v>
      </c>
      <c r="B64" s="16">
        <v>2.2200000000000002</v>
      </c>
      <c r="C64" s="16"/>
    </row>
    <row r="65" spans="1:3" x14ac:dyDescent="0.35">
      <c r="A65" s="13">
        <v>44927</v>
      </c>
      <c r="B65" s="16">
        <v>2.14</v>
      </c>
      <c r="C65" s="16"/>
    </row>
    <row r="66" spans="1:3" x14ac:dyDescent="0.35">
      <c r="A66" s="13">
        <v>44958</v>
      </c>
      <c r="B66" s="16">
        <v>2</v>
      </c>
      <c r="C66" s="16"/>
    </row>
    <row r="67" spans="1:3" x14ac:dyDescent="0.35">
      <c r="A67" s="13">
        <v>44986</v>
      </c>
      <c r="B67" s="16">
        <v>1.89</v>
      </c>
      <c r="C67" s="16"/>
    </row>
    <row r="68" spans="1:3" x14ac:dyDescent="0.35">
      <c r="A68" s="13">
        <v>45017</v>
      </c>
      <c r="B68" s="16">
        <v>1.8</v>
      </c>
      <c r="C68" s="16"/>
    </row>
    <row r="69" spans="1:3" x14ac:dyDescent="0.35">
      <c r="A69" s="13">
        <v>45047</v>
      </c>
      <c r="B69" s="16">
        <v>1.65</v>
      </c>
      <c r="C69" s="16"/>
    </row>
    <row r="70" spans="1:3" x14ac:dyDescent="0.35">
      <c r="A70" s="13">
        <v>45078</v>
      </c>
      <c r="B70" s="16">
        <v>1.57</v>
      </c>
      <c r="C70" s="16"/>
    </row>
    <row r="71" spans="1:3" x14ac:dyDescent="0.35">
      <c r="A71" s="13">
        <v>45108</v>
      </c>
      <c r="B71" s="16">
        <v>1.51</v>
      </c>
      <c r="C71" s="16"/>
    </row>
    <row r="72" spans="1:3" x14ac:dyDescent="0.35">
      <c r="A72" s="13">
        <v>45139</v>
      </c>
      <c r="B72" s="16">
        <v>1.43</v>
      </c>
      <c r="C72" s="16"/>
    </row>
    <row r="73" spans="1:3" x14ac:dyDescent="0.35">
      <c r="A73" s="13">
        <v>45170</v>
      </c>
      <c r="B73" s="16">
        <v>1.37</v>
      </c>
      <c r="C73" s="16"/>
    </row>
    <row r="74" spans="1:3" x14ac:dyDescent="0.35">
      <c r="A74" s="13">
        <v>45200</v>
      </c>
      <c r="B74" s="16">
        <v>1.34</v>
      </c>
      <c r="C74" s="16"/>
    </row>
    <row r="75" spans="1:3" x14ac:dyDescent="0.35">
      <c r="A75" s="13">
        <v>45231</v>
      </c>
      <c r="B75" s="16">
        <v>1.36</v>
      </c>
      <c r="C75" s="16"/>
    </row>
    <row r="76" spans="1:3" x14ac:dyDescent="0.35">
      <c r="A76" s="13">
        <v>45261</v>
      </c>
      <c r="B76" s="16">
        <v>1.4</v>
      </c>
      <c r="C76" s="16"/>
    </row>
    <row r="77" spans="1:3" x14ac:dyDescent="0.35">
      <c r="A77" s="13">
        <v>45292</v>
      </c>
      <c r="B77" s="16">
        <v>1.43</v>
      </c>
      <c r="C77" s="16"/>
    </row>
    <row r="78" spans="1:3" x14ac:dyDescent="0.35">
      <c r="A78" s="13">
        <v>45323</v>
      </c>
      <c r="B78" s="16">
        <v>1.44</v>
      </c>
      <c r="C78" s="16"/>
    </row>
    <row r="79" spans="1:3" x14ac:dyDescent="0.35">
      <c r="A79" s="13">
        <v>45352</v>
      </c>
      <c r="B79" s="16">
        <v>1.49</v>
      </c>
      <c r="C79" s="16"/>
    </row>
    <row r="80" spans="1:3" x14ac:dyDescent="0.35">
      <c r="A80" s="13">
        <v>45383</v>
      </c>
      <c r="B80" s="16">
        <v>1.49</v>
      </c>
      <c r="C80" s="16"/>
    </row>
    <row r="81" spans="1:3" x14ac:dyDescent="0.35">
      <c r="A81" s="13">
        <v>45413</v>
      </c>
      <c r="B81" s="16">
        <v>1.48</v>
      </c>
      <c r="C81" s="16"/>
    </row>
    <row r="82" spans="1:3" x14ac:dyDescent="0.35">
      <c r="A82" s="13">
        <v>45444</v>
      </c>
      <c r="B82" s="16">
        <v>1.47</v>
      </c>
      <c r="C82" s="16"/>
    </row>
    <row r="83" spans="1:3" x14ac:dyDescent="0.35">
      <c r="A83" s="13">
        <v>45474</v>
      </c>
      <c r="B83" s="16">
        <v>1.46</v>
      </c>
      <c r="C83" s="16"/>
    </row>
    <row r="84" spans="1:3" x14ac:dyDescent="0.35">
      <c r="A84" s="13">
        <v>45505</v>
      </c>
      <c r="B84" s="16">
        <v>1.44</v>
      </c>
      <c r="C84" s="16"/>
    </row>
    <row r="85" spans="1:3" x14ac:dyDescent="0.35">
      <c r="A85" s="13">
        <v>45536</v>
      </c>
      <c r="B85" s="16">
        <v>1.43</v>
      </c>
      <c r="C85" s="16"/>
    </row>
    <row r="86" spans="1:3" x14ac:dyDescent="0.35">
      <c r="A86" s="13">
        <v>45566</v>
      </c>
      <c r="B86" s="16">
        <v>1.4</v>
      </c>
      <c r="C86" s="16"/>
    </row>
    <row r="87" spans="1:3" x14ac:dyDescent="0.35">
      <c r="A87" s="13">
        <v>45597</v>
      </c>
      <c r="B87" s="16">
        <v>1.35</v>
      </c>
      <c r="C87" s="16"/>
    </row>
    <row r="88" spans="1:3" x14ac:dyDescent="0.35">
      <c r="A88" s="13">
        <v>45627</v>
      </c>
      <c r="B88" s="16">
        <v>1.33</v>
      </c>
      <c r="C88" s="16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5515-9353-4350-9944-EF83D6106ED9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1.08</v>
      </c>
    </row>
    <row r="6" spans="1:2" x14ac:dyDescent="0.35">
      <c r="A6" s="13">
        <v>43132</v>
      </c>
      <c r="B6" s="16">
        <v>1.0900000000000001</v>
      </c>
    </row>
    <row r="7" spans="1:2" x14ac:dyDescent="0.35">
      <c r="A7" s="13">
        <v>43160</v>
      </c>
      <c r="B7" s="16">
        <v>1.26</v>
      </c>
    </row>
    <row r="8" spans="1:2" x14ac:dyDescent="0.35">
      <c r="A8" s="13">
        <v>43191</v>
      </c>
      <c r="B8" s="16">
        <v>1.27</v>
      </c>
    </row>
    <row r="9" spans="1:2" x14ac:dyDescent="0.35">
      <c r="A9" s="13">
        <v>43221</v>
      </c>
      <c r="B9" s="16">
        <v>1.26</v>
      </c>
    </row>
    <row r="10" spans="1:2" x14ac:dyDescent="0.35">
      <c r="A10" s="13">
        <v>43252</v>
      </c>
      <c r="B10" s="16">
        <v>1.26</v>
      </c>
    </row>
    <row r="11" spans="1:2" x14ac:dyDescent="0.35">
      <c r="A11" s="13">
        <v>43282</v>
      </c>
      <c r="B11" s="16">
        <v>1.27</v>
      </c>
    </row>
    <row r="12" spans="1:2" x14ac:dyDescent="0.35">
      <c r="A12" s="13">
        <v>43313</v>
      </c>
      <c r="B12" s="16">
        <v>1.24</v>
      </c>
    </row>
    <row r="13" spans="1:2" x14ac:dyDescent="0.35">
      <c r="A13" s="13">
        <v>43344</v>
      </c>
      <c r="B13" s="16">
        <v>1.22</v>
      </c>
    </row>
    <row r="14" spans="1:2" x14ac:dyDescent="0.35">
      <c r="A14" s="13">
        <v>43374</v>
      </c>
      <c r="B14" s="16">
        <v>1.17</v>
      </c>
    </row>
    <row r="15" spans="1:2" x14ac:dyDescent="0.35">
      <c r="A15" s="13">
        <v>43405</v>
      </c>
      <c r="B15" s="16">
        <v>1.08</v>
      </c>
    </row>
    <row r="16" spans="1:2" x14ac:dyDescent="0.35">
      <c r="A16" s="13">
        <v>43435</v>
      </c>
      <c r="B16" s="16">
        <v>1.03</v>
      </c>
    </row>
    <row r="17" spans="1:2" x14ac:dyDescent="0.35">
      <c r="A17" s="13">
        <v>43466</v>
      </c>
      <c r="B17" s="16">
        <v>0.99</v>
      </c>
    </row>
    <row r="18" spans="1:2" x14ac:dyDescent="0.35">
      <c r="A18" s="13">
        <v>43497</v>
      </c>
      <c r="B18" s="16">
        <v>0.97</v>
      </c>
    </row>
    <row r="19" spans="1:2" x14ac:dyDescent="0.35">
      <c r="A19" s="13">
        <v>43525</v>
      </c>
      <c r="B19" s="16">
        <v>0.98</v>
      </c>
    </row>
    <row r="20" spans="1:2" x14ac:dyDescent="0.35">
      <c r="A20" s="13">
        <v>43556</v>
      </c>
      <c r="B20" s="16">
        <v>0.99</v>
      </c>
    </row>
    <row r="21" spans="1:2" x14ac:dyDescent="0.35">
      <c r="A21" s="13">
        <v>43586</v>
      </c>
      <c r="B21" s="16">
        <v>0.99</v>
      </c>
    </row>
    <row r="22" spans="1:2" x14ac:dyDescent="0.35">
      <c r="A22" s="13">
        <v>43617</v>
      </c>
      <c r="B22" s="16">
        <v>1</v>
      </c>
    </row>
    <row r="23" spans="1:2" x14ac:dyDescent="0.35">
      <c r="A23" s="13">
        <v>43647</v>
      </c>
      <c r="B23" s="16">
        <v>0.98</v>
      </c>
    </row>
    <row r="24" spans="1:2" x14ac:dyDescent="0.35">
      <c r="A24" s="13">
        <v>43678</v>
      </c>
      <c r="B24" s="16">
        <v>0.96</v>
      </c>
    </row>
    <row r="25" spans="1:2" x14ac:dyDescent="0.35">
      <c r="A25" s="13">
        <v>43709</v>
      </c>
      <c r="B25" s="16">
        <v>0.93</v>
      </c>
    </row>
    <row r="26" spans="1:2" x14ac:dyDescent="0.35">
      <c r="A26" s="13">
        <v>43739</v>
      </c>
      <c r="B26" s="16">
        <v>0.94</v>
      </c>
    </row>
    <row r="27" spans="1:2" x14ac:dyDescent="0.35">
      <c r="A27" s="13">
        <v>43770</v>
      </c>
      <c r="B27" s="16">
        <v>0.92</v>
      </c>
    </row>
    <row r="28" spans="1:2" x14ac:dyDescent="0.35">
      <c r="A28" s="13">
        <v>43800</v>
      </c>
      <c r="B28" s="16">
        <v>0.9</v>
      </c>
    </row>
    <row r="29" spans="1:2" x14ac:dyDescent="0.35">
      <c r="A29" s="13">
        <v>43831</v>
      </c>
      <c r="B29" s="16">
        <v>0.87</v>
      </c>
    </row>
    <row r="30" spans="1:2" x14ac:dyDescent="0.35">
      <c r="A30" s="13">
        <v>43862</v>
      </c>
      <c r="B30" s="16">
        <v>0.81</v>
      </c>
    </row>
    <row r="31" spans="1:2" x14ac:dyDescent="0.35">
      <c r="A31" s="13">
        <v>43891</v>
      </c>
      <c r="B31" s="16">
        <v>0.75</v>
      </c>
    </row>
    <row r="32" spans="1:2" x14ac:dyDescent="0.35">
      <c r="A32" s="13">
        <v>43922</v>
      </c>
      <c r="B32" s="16">
        <v>0.65</v>
      </c>
    </row>
    <row r="33" spans="1:2" x14ac:dyDescent="0.35">
      <c r="A33" s="13">
        <v>43952</v>
      </c>
      <c r="B33" s="16">
        <v>0.6</v>
      </c>
    </row>
    <row r="34" spans="1:2" x14ac:dyDescent="0.35">
      <c r="A34" s="13">
        <v>43983</v>
      </c>
      <c r="B34" s="16">
        <v>0.6</v>
      </c>
    </row>
    <row r="35" spans="1:2" x14ac:dyDescent="0.35">
      <c r="A35" s="13">
        <v>44013</v>
      </c>
      <c r="B35" s="16">
        <v>0.64</v>
      </c>
    </row>
    <row r="36" spans="1:2" x14ac:dyDescent="0.35">
      <c r="A36" s="13">
        <v>44044</v>
      </c>
      <c r="B36" s="16">
        <v>0.66</v>
      </c>
    </row>
    <row r="37" spans="1:2" x14ac:dyDescent="0.35">
      <c r="A37" s="13">
        <v>44075</v>
      </c>
      <c r="B37" s="16">
        <v>0.67</v>
      </c>
    </row>
    <row r="38" spans="1:2" x14ac:dyDescent="0.35">
      <c r="A38" s="13">
        <v>44105</v>
      </c>
      <c r="B38" s="16">
        <v>0.69</v>
      </c>
    </row>
    <row r="39" spans="1:2" x14ac:dyDescent="0.35">
      <c r="A39" s="13">
        <v>44136</v>
      </c>
      <c r="B39" s="16">
        <v>0.74</v>
      </c>
    </row>
    <row r="40" spans="1:2" x14ac:dyDescent="0.35">
      <c r="A40" s="13">
        <v>44166</v>
      </c>
      <c r="B40" s="16">
        <v>0.83</v>
      </c>
    </row>
    <row r="41" spans="1:2" x14ac:dyDescent="0.35">
      <c r="A41" s="13">
        <v>44197</v>
      </c>
      <c r="B41" s="16">
        <v>0.96</v>
      </c>
    </row>
    <row r="42" spans="1:2" x14ac:dyDescent="0.35">
      <c r="A42" s="13">
        <v>44228</v>
      </c>
      <c r="B42" s="16">
        <v>1.1100000000000001</v>
      </c>
    </row>
    <row r="43" spans="1:2" x14ac:dyDescent="0.35">
      <c r="A43" s="13">
        <v>44256</v>
      </c>
      <c r="B43" s="16">
        <v>1.28</v>
      </c>
    </row>
    <row r="44" spans="1:2" x14ac:dyDescent="0.35">
      <c r="A44" s="13">
        <v>44287</v>
      </c>
      <c r="B44" s="16">
        <v>1.41</v>
      </c>
    </row>
    <row r="45" spans="1:2" x14ac:dyDescent="0.35">
      <c r="A45" s="13">
        <v>44317</v>
      </c>
      <c r="B45" s="16">
        <v>1.53</v>
      </c>
    </row>
    <row r="46" spans="1:2" x14ac:dyDescent="0.35">
      <c r="A46" s="13">
        <v>44348</v>
      </c>
      <c r="B46" s="16">
        <v>1.44</v>
      </c>
    </row>
    <row r="47" spans="1:2" x14ac:dyDescent="0.35">
      <c r="A47" s="13">
        <v>44378</v>
      </c>
      <c r="B47" s="16">
        <v>1.32</v>
      </c>
    </row>
    <row r="48" spans="1:2" x14ac:dyDescent="0.35">
      <c r="A48" s="13">
        <v>44409</v>
      </c>
      <c r="B48" s="16">
        <v>1.26</v>
      </c>
    </row>
    <row r="49" spans="1:2" x14ac:dyDescent="0.35">
      <c r="A49" s="13">
        <v>44440</v>
      </c>
      <c r="B49" s="16">
        <v>1.24</v>
      </c>
    </row>
    <row r="50" spans="1:2" x14ac:dyDescent="0.35">
      <c r="A50" s="13">
        <v>44470</v>
      </c>
      <c r="B50" s="16">
        <v>1.26</v>
      </c>
    </row>
    <row r="51" spans="1:2" x14ac:dyDescent="0.35">
      <c r="A51" s="13">
        <v>44501</v>
      </c>
      <c r="B51" s="16">
        <v>1.31</v>
      </c>
    </row>
    <row r="52" spans="1:2" x14ac:dyDescent="0.35">
      <c r="A52" s="13">
        <v>44531</v>
      </c>
      <c r="B52" s="16">
        <v>1.37</v>
      </c>
    </row>
    <row r="53" spans="1:2" x14ac:dyDescent="0.35">
      <c r="A53" s="13">
        <v>44562</v>
      </c>
      <c r="B53" s="16">
        <v>1.45</v>
      </c>
    </row>
    <row r="54" spans="1:2" x14ac:dyDescent="0.35">
      <c r="A54" s="13">
        <v>44593</v>
      </c>
      <c r="B54" s="16">
        <v>1.53</v>
      </c>
    </row>
    <row r="55" spans="1:2" x14ac:dyDescent="0.35">
      <c r="A55" s="13">
        <v>44621</v>
      </c>
      <c r="B55" s="16">
        <v>1.59</v>
      </c>
    </row>
    <row r="56" spans="1:2" x14ac:dyDescent="0.35">
      <c r="A56" s="13">
        <v>44652</v>
      </c>
      <c r="B56" s="16">
        <v>1.67</v>
      </c>
    </row>
    <row r="57" spans="1:2" x14ac:dyDescent="0.35">
      <c r="A57" s="13">
        <v>44682</v>
      </c>
      <c r="B57" s="16">
        <v>1.7</v>
      </c>
    </row>
    <row r="58" spans="1:2" x14ac:dyDescent="0.35">
      <c r="A58" s="13">
        <v>44713</v>
      </c>
      <c r="B58" s="16">
        <v>1.71</v>
      </c>
    </row>
    <row r="59" spans="1:2" x14ac:dyDescent="0.35">
      <c r="A59" s="13">
        <v>44743</v>
      </c>
      <c r="B59" s="16">
        <v>1.6</v>
      </c>
    </row>
    <row r="60" spans="1:2" x14ac:dyDescent="0.35">
      <c r="A60" s="13">
        <v>44774</v>
      </c>
      <c r="B60" s="16">
        <v>1.48</v>
      </c>
    </row>
    <row r="61" spans="1:2" x14ac:dyDescent="0.35">
      <c r="A61" s="13">
        <v>44805</v>
      </c>
      <c r="B61" s="16">
        <v>1.36</v>
      </c>
    </row>
    <row r="62" spans="1:2" x14ac:dyDescent="0.35">
      <c r="A62" s="13">
        <v>44835</v>
      </c>
      <c r="B62" s="16">
        <v>1.25</v>
      </c>
    </row>
    <row r="63" spans="1:2" x14ac:dyDescent="0.35">
      <c r="A63" s="13">
        <v>44866</v>
      </c>
      <c r="B63" s="16">
        <v>1.24</v>
      </c>
    </row>
    <row r="64" spans="1:2" x14ac:dyDescent="0.35">
      <c r="A64" s="13">
        <v>44896</v>
      </c>
      <c r="B64" s="16">
        <v>1.25</v>
      </c>
    </row>
    <row r="65" spans="1:2" x14ac:dyDescent="0.35">
      <c r="A65" s="13">
        <v>44927</v>
      </c>
      <c r="B65" s="16">
        <v>1.23</v>
      </c>
    </row>
    <row r="66" spans="1:2" x14ac:dyDescent="0.35">
      <c r="A66" s="13">
        <v>44958</v>
      </c>
      <c r="B66" s="16">
        <v>1.21</v>
      </c>
    </row>
    <row r="67" spans="1:2" x14ac:dyDescent="0.35">
      <c r="A67" s="13">
        <v>44986</v>
      </c>
      <c r="B67" s="16">
        <v>1.19</v>
      </c>
    </row>
    <row r="68" spans="1:2" x14ac:dyDescent="0.35">
      <c r="A68" s="13">
        <v>45017</v>
      </c>
      <c r="B68" s="16">
        <v>1.18</v>
      </c>
    </row>
    <row r="69" spans="1:2" x14ac:dyDescent="0.35">
      <c r="A69" s="13">
        <v>45047</v>
      </c>
      <c r="B69" s="16">
        <v>1.1499999999999999</v>
      </c>
    </row>
    <row r="70" spans="1:2" x14ac:dyDescent="0.35">
      <c r="A70" s="13">
        <v>45078</v>
      </c>
      <c r="B70" s="16">
        <v>1.1599999999999999</v>
      </c>
    </row>
    <row r="71" spans="1:2" x14ac:dyDescent="0.35">
      <c r="A71" s="13">
        <v>45108</v>
      </c>
      <c r="B71" s="16">
        <v>1.2</v>
      </c>
    </row>
    <row r="72" spans="1:2" x14ac:dyDescent="0.35">
      <c r="A72" s="13">
        <v>45139</v>
      </c>
      <c r="B72" s="16">
        <v>1.23</v>
      </c>
    </row>
    <row r="73" spans="1:2" x14ac:dyDescent="0.35">
      <c r="A73" s="13">
        <v>45170</v>
      </c>
      <c r="B73" s="16">
        <v>1.24</v>
      </c>
    </row>
    <row r="74" spans="1:2" x14ac:dyDescent="0.35">
      <c r="A74" s="13">
        <v>45200</v>
      </c>
      <c r="B74" s="16">
        <v>1.21</v>
      </c>
    </row>
    <row r="75" spans="1:2" x14ac:dyDescent="0.35">
      <c r="A75" s="13">
        <v>45231</v>
      </c>
      <c r="B75" s="16">
        <v>1.18</v>
      </c>
    </row>
    <row r="76" spans="1:2" x14ac:dyDescent="0.35">
      <c r="A76" s="13">
        <v>45261</v>
      </c>
      <c r="B76" s="16">
        <v>1.17</v>
      </c>
    </row>
    <row r="77" spans="1:2" x14ac:dyDescent="0.35">
      <c r="A77" s="13">
        <v>45292</v>
      </c>
      <c r="B77" s="16">
        <v>1.18</v>
      </c>
    </row>
    <row r="78" spans="1:2" x14ac:dyDescent="0.35">
      <c r="A78" s="13">
        <v>45323</v>
      </c>
      <c r="B78" s="16">
        <v>1.25</v>
      </c>
    </row>
    <row r="79" spans="1:2" x14ac:dyDescent="0.35">
      <c r="A79" s="13">
        <v>45352</v>
      </c>
      <c r="B79" s="16">
        <v>1.36</v>
      </c>
    </row>
    <row r="80" spans="1:2" x14ac:dyDescent="0.35">
      <c r="A80" s="13">
        <v>45383</v>
      </c>
      <c r="B80" s="16">
        <v>1.4</v>
      </c>
    </row>
    <row r="81" spans="1:2" x14ac:dyDescent="0.35">
      <c r="A81" s="13">
        <v>45413</v>
      </c>
      <c r="B81" s="16">
        <v>1.39</v>
      </c>
    </row>
    <row r="82" spans="1:2" x14ac:dyDescent="0.35">
      <c r="A82" s="13">
        <v>45444</v>
      </c>
      <c r="B82" s="16">
        <v>1.38</v>
      </c>
    </row>
    <row r="83" spans="1:2" x14ac:dyDescent="0.35">
      <c r="A83" s="13">
        <v>45474</v>
      </c>
      <c r="B83" s="16">
        <v>1.34</v>
      </c>
    </row>
    <row r="84" spans="1:2" x14ac:dyDescent="0.35">
      <c r="A84" s="13">
        <v>45505</v>
      </c>
      <c r="B84" s="16">
        <v>1.3</v>
      </c>
    </row>
    <row r="85" spans="1:2" x14ac:dyDescent="0.35">
      <c r="A85" s="13">
        <v>45536</v>
      </c>
      <c r="B85" s="16">
        <v>1.32</v>
      </c>
    </row>
    <row r="86" spans="1:2" x14ac:dyDescent="0.35">
      <c r="A86" s="13">
        <v>45566</v>
      </c>
      <c r="B86" s="16">
        <v>1.28</v>
      </c>
    </row>
    <row r="87" spans="1:2" x14ac:dyDescent="0.35">
      <c r="A87" s="13">
        <v>45597</v>
      </c>
      <c r="B87" s="16">
        <v>1.2</v>
      </c>
    </row>
    <row r="88" spans="1:2" x14ac:dyDescent="0.35">
      <c r="A88" s="13">
        <v>45627</v>
      </c>
      <c r="B88" s="16">
        <v>1.1100000000000001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9BD3-2883-43CA-A3FA-BF68A0EFCE44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0.76</v>
      </c>
    </row>
    <row r="6" spans="1:2" x14ac:dyDescent="0.35">
      <c r="A6" s="13">
        <v>43132</v>
      </c>
      <c r="B6" s="16">
        <v>0.78</v>
      </c>
    </row>
    <row r="7" spans="1:2" x14ac:dyDescent="0.35">
      <c r="A7" s="13">
        <v>43160</v>
      </c>
      <c r="B7" s="16">
        <v>0.83</v>
      </c>
    </row>
    <row r="8" spans="1:2" x14ac:dyDescent="0.35">
      <c r="A8" s="13">
        <v>43191</v>
      </c>
      <c r="B8" s="16">
        <v>0.89</v>
      </c>
    </row>
    <row r="9" spans="1:2" x14ac:dyDescent="0.35">
      <c r="A9" s="13">
        <v>43221</v>
      </c>
      <c r="B9" s="16">
        <v>0.9</v>
      </c>
    </row>
    <row r="10" spans="1:2" x14ac:dyDescent="0.35">
      <c r="A10" s="13">
        <v>43252</v>
      </c>
      <c r="B10" s="16">
        <v>0.91</v>
      </c>
    </row>
    <row r="11" spans="1:2" x14ac:dyDescent="0.35">
      <c r="A11" s="13">
        <v>43282</v>
      </c>
      <c r="B11" s="16">
        <v>0.93</v>
      </c>
    </row>
    <row r="12" spans="1:2" x14ac:dyDescent="0.35">
      <c r="A12" s="13">
        <v>43313</v>
      </c>
      <c r="B12" s="16">
        <v>0.92</v>
      </c>
    </row>
    <row r="13" spans="1:2" x14ac:dyDescent="0.35">
      <c r="A13" s="13">
        <v>43344</v>
      </c>
      <c r="B13" s="16">
        <v>0.91</v>
      </c>
    </row>
    <row r="14" spans="1:2" x14ac:dyDescent="0.35">
      <c r="A14" s="13">
        <v>43374</v>
      </c>
      <c r="B14" s="16">
        <v>0.87</v>
      </c>
    </row>
    <row r="15" spans="1:2" x14ac:dyDescent="0.35">
      <c r="A15" s="13">
        <v>43405</v>
      </c>
      <c r="B15" s="16">
        <v>0.85</v>
      </c>
    </row>
    <row r="16" spans="1:2" x14ac:dyDescent="0.35">
      <c r="A16" s="13">
        <v>43435</v>
      </c>
      <c r="B16" s="16">
        <v>0.82</v>
      </c>
    </row>
    <row r="17" spans="1:2" x14ac:dyDescent="0.35">
      <c r="A17" s="13">
        <v>43466</v>
      </c>
      <c r="B17" s="16">
        <v>0.82</v>
      </c>
    </row>
    <row r="18" spans="1:2" x14ac:dyDescent="0.35">
      <c r="A18" s="13">
        <v>43497</v>
      </c>
      <c r="B18" s="16">
        <v>0.84</v>
      </c>
    </row>
    <row r="19" spans="1:2" x14ac:dyDescent="0.35">
      <c r="A19" s="13">
        <v>43525</v>
      </c>
      <c r="B19" s="16">
        <v>0.9</v>
      </c>
    </row>
    <row r="20" spans="1:2" x14ac:dyDescent="0.35">
      <c r="A20" s="13">
        <v>43556</v>
      </c>
      <c r="B20" s="16">
        <v>0.92</v>
      </c>
    </row>
    <row r="21" spans="1:2" x14ac:dyDescent="0.35">
      <c r="A21" s="13">
        <v>43586</v>
      </c>
      <c r="B21" s="16">
        <v>0.95</v>
      </c>
    </row>
    <row r="22" spans="1:2" x14ac:dyDescent="0.35">
      <c r="A22" s="13">
        <v>43617</v>
      </c>
      <c r="B22" s="16">
        <v>0.96</v>
      </c>
    </row>
    <row r="23" spans="1:2" x14ac:dyDescent="0.35">
      <c r="A23" s="13">
        <v>43647</v>
      </c>
      <c r="B23" s="16">
        <v>0.94</v>
      </c>
    </row>
    <row r="24" spans="1:2" x14ac:dyDescent="0.35">
      <c r="A24" s="13">
        <v>43678</v>
      </c>
      <c r="B24" s="16">
        <v>0.9</v>
      </c>
    </row>
    <row r="25" spans="1:2" x14ac:dyDescent="0.35">
      <c r="A25" s="13">
        <v>43709</v>
      </c>
      <c r="B25" s="16">
        <v>0.87</v>
      </c>
    </row>
    <row r="26" spans="1:2" x14ac:dyDescent="0.35">
      <c r="A26" s="13">
        <v>43739</v>
      </c>
      <c r="B26" s="16">
        <v>0.86</v>
      </c>
    </row>
    <row r="27" spans="1:2" x14ac:dyDescent="0.35">
      <c r="A27" s="13">
        <v>43770</v>
      </c>
      <c r="B27" s="16">
        <v>0.87</v>
      </c>
    </row>
    <row r="28" spans="1:2" x14ac:dyDescent="0.35">
      <c r="A28" s="13">
        <v>43800</v>
      </c>
      <c r="B28" s="16">
        <v>0.86</v>
      </c>
    </row>
    <row r="29" spans="1:2" x14ac:dyDescent="0.35">
      <c r="A29" s="13">
        <v>43831</v>
      </c>
      <c r="B29" s="16">
        <v>0.86</v>
      </c>
    </row>
    <row r="30" spans="1:2" x14ac:dyDescent="0.35">
      <c r="A30" s="13">
        <v>43862</v>
      </c>
      <c r="B30" s="16">
        <v>0.8</v>
      </c>
    </row>
    <row r="31" spans="1:2" x14ac:dyDescent="0.35">
      <c r="A31" s="13">
        <v>43891</v>
      </c>
      <c r="B31" s="16">
        <v>0.76</v>
      </c>
    </row>
    <row r="32" spans="1:2" x14ac:dyDescent="0.35">
      <c r="A32" s="13">
        <v>43922</v>
      </c>
      <c r="B32" s="16">
        <v>0.69</v>
      </c>
    </row>
    <row r="33" spans="1:2" x14ac:dyDescent="0.35">
      <c r="A33" s="13">
        <v>43952</v>
      </c>
      <c r="B33" s="16">
        <v>0.63</v>
      </c>
    </row>
    <row r="34" spans="1:2" x14ac:dyDescent="0.35">
      <c r="A34" s="13">
        <v>43983</v>
      </c>
      <c r="B34" s="16">
        <v>0.61</v>
      </c>
    </row>
    <row r="35" spans="1:2" x14ac:dyDescent="0.35">
      <c r="A35" s="13">
        <v>44013</v>
      </c>
      <c r="B35" s="16">
        <v>0.61</v>
      </c>
    </row>
    <row r="36" spans="1:2" x14ac:dyDescent="0.35">
      <c r="A36" s="13">
        <v>44044</v>
      </c>
      <c r="B36" s="16">
        <v>0.63</v>
      </c>
    </row>
    <row r="37" spans="1:2" x14ac:dyDescent="0.35">
      <c r="A37" s="13">
        <v>44075</v>
      </c>
      <c r="B37" s="16">
        <v>0.63</v>
      </c>
    </row>
    <row r="38" spans="1:2" x14ac:dyDescent="0.35">
      <c r="A38" s="13">
        <v>44105</v>
      </c>
      <c r="B38" s="16">
        <v>0.63</v>
      </c>
    </row>
    <row r="39" spans="1:2" x14ac:dyDescent="0.35">
      <c r="A39" s="13">
        <v>44136</v>
      </c>
      <c r="B39" s="16">
        <v>0.65</v>
      </c>
    </row>
    <row r="40" spans="1:2" x14ac:dyDescent="0.35">
      <c r="A40" s="13">
        <v>44166</v>
      </c>
      <c r="B40" s="16">
        <v>0.7</v>
      </c>
    </row>
    <row r="41" spans="1:2" x14ac:dyDescent="0.35">
      <c r="A41" s="13">
        <v>44197</v>
      </c>
      <c r="B41" s="16">
        <v>0.76</v>
      </c>
    </row>
    <row r="42" spans="1:2" x14ac:dyDescent="0.35">
      <c r="A42" s="13">
        <v>44228</v>
      </c>
      <c r="B42" s="16">
        <v>0.8</v>
      </c>
    </row>
    <row r="43" spans="1:2" x14ac:dyDescent="0.35">
      <c r="A43" s="13">
        <v>44256</v>
      </c>
      <c r="B43" s="16">
        <v>0.85</v>
      </c>
    </row>
    <row r="44" spans="1:2" x14ac:dyDescent="0.35">
      <c r="A44" s="13">
        <v>44287</v>
      </c>
      <c r="B44" s="16">
        <v>0.9</v>
      </c>
    </row>
    <row r="45" spans="1:2" x14ac:dyDescent="0.35">
      <c r="A45" s="13">
        <v>44317</v>
      </c>
      <c r="B45" s="16">
        <v>0.95</v>
      </c>
    </row>
    <row r="46" spans="1:2" x14ac:dyDescent="0.35">
      <c r="A46" s="13">
        <v>44348</v>
      </c>
      <c r="B46" s="16">
        <v>0.94</v>
      </c>
    </row>
    <row r="47" spans="1:2" x14ac:dyDescent="0.35">
      <c r="A47" s="13">
        <v>44378</v>
      </c>
      <c r="B47" s="16">
        <v>0.92</v>
      </c>
    </row>
    <row r="48" spans="1:2" x14ac:dyDescent="0.35">
      <c r="A48" s="13">
        <v>44409</v>
      </c>
      <c r="B48" s="16">
        <v>0.94</v>
      </c>
    </row>
    <row r="49" spans="1:2" x14ac:dyDescent="0.35">
      <c r="A49" s="13">
        <v>44440</v>
      </c>
      <c r="B49" s="16">
        <v>0.96</v>
      </c>
    </row>
    <row r="50" spans="1:2" x14ac:dyDescent="0.35">
      <c r="A50" s="13">
        <v>44470</v>
      </c>
      <c r="B50" s="16">
        <v>0.97</v>
      </c>
    </row>
    <row r="51" spans="1:2" x14ac:dyDescent="0.35">
      <c r="A51" s="13">
        <v>44501</v>
      </c>
      <c r="B51" s="16">
        <v>0.96</v>
      </c>
    </row>
    <row r="52" spans="1:2" x14ac:dyDescent="0.35">
      <c r="A52" s="13">
        <v>44531</v>
      </c>
      <c r="B52" s="16">
        <v>1</v>
      </c>
    </row>
    <row r="53" spans="1:2" x14ac:dyDescent="0.35">
      <c r="A53" s="13">
        <v>44562</v>
      </c>
      <c r="B53" s="16">
        <v>1.03</v>
      </c>
    </row>
    <row r="54" spans="1:2" x14ac:dyDescent="0.35">
      <c r="A54" s="13">
        <v>44593</v>
      </c>
      <c r="B54" s="16">
        <v>1.1000000000000001</v>
      </c>
    </row>
    <row r="55" spans="1:2" x14ac:dyDescent="0.35">
      <c r="A55" s="13">
        <v>44621</v>
      </c>
      <c r="B55" s="16">
        <v>1.18</v>
      </c>
    </row>
    <row r="56" spans="1:2" x14ac:dyDescent="0.35">
      <c r="A56" s="13">
        <v>44652</v>
      </c>
      <c r="B56" s="16">
        <v>1.32</v>
      </c>
    </row>
    <row r="57" spans="1:2" x14ac:dyDescent="0.35">
      <c r="A57" s="13">
        <v>44682</v>
      </c>
      <c r="B57" s="16">
        <v>1.44</v>
      </c>
    </row>
    <row r="58" spans="1:2" x14ac:dyDescent="0.35">
      <c r="A58" s="13">
        <v>44713</v>
      </c>
      <c r="B58" s="16">
        <v>1.58</v>
      </c>
    </row>
    <row r="59" spans="1:2" x14ac:dyDescent="0.35">
      <c r="A59" s="13">
        <v>44743</v>
      </c>
      <c r="B59" s="16">
        <v>1.61</v>
      </c>
    </row>
    <row r="60" spans="1:2" x14ac:dyDescent="0.35">
      <c r="A60" s="13">
        <v>44774</v>
      </c>
      <c r="B60" s="16">
        <v>1.63</v>
      </c>
    </row>
    <row r="61" spans="1:2" x14ac:dyDescent="0.35">
      <c r="A61" s="13">
        <v>44805</v>
      </c>
      <c r="B61" s="16">
        <v>1.58</v>
      </c>
    </row>
    <row r="62" spans="1:2" x14ac:dyDescent="0.35">
      <c r="A62" s="13">
        <v>44835</v>
      </c>
      <c r="B62" s="16">
        <v>1.52</v>
      </c>
    </row>
    <row r="63" spans="1:2" x14ac:dyDescent="0.35">
      <c r="A63" s="13">
        <v>44866</v>
      </c>
      <c r="B63" s="16">
        <v>1.53</v>
      </c>
    </row>
    <row r="64" spans="1:2" x14ac:dyDescent="0.35">
      <c r="A64" s="13">
        <v>44896</v>
      </c>
      <c r="B64" s="16">
        <v>1.54</v>
      </c>
    </row>
    <row r="65" spans="1:2" x14ac:dyDescent="0.35">
      <c r="A65" s="13">
        <v>44927</v>
      </c>
      <c r="B65" s="16">
        <v>1.47</v>
      </c>
    </row>
    <row r="66" spans="1:2" x14ac:dyDescent="0.35">
      <c r="A66" s="13">
        <v>44958</v>
      </c>
      <c r="B66" s="16">
        <v>1.42</v>
      </c>
    </row>
    <row r="67" spans="1:2" x14ac:dyDescent="0.35">
      <c r="A67" s="13">
        <v>44986</v>
      </c>
      <c r="B67" s="16">
        <v>1.37</v>
      </c>
    </row>
    <row r="68" spans="1:2" x14ac:dyDescent="0.35">
      <c r="A68" s="13">
        <v>45017</v>
      </c>
      <c r="B68" s="16">
        <v>1.39</v>
      </c>
    </row>
    <row r="69" spans="1:2" x14ac:dyDescent="0.35">
      <c r="A69" s="13">
        <v>45047</v>
      </c>
      <c r="B69" s="16">
        <v>1.34</v>
      </c>
    </row>
    <row r="70" spans="1:2" x14ac:dyDescent="0.35">
      <c r="A70" s="13">
        <v>45078</v>
      </c>
      <c r="B70" s="16">
        <v>1.34</v>
      </c>
    </row>
    <row r="71" spans="1:2" x14ac:dyDescent="0.35">
      <c r="A71" s="13">
        <v>45108</v>
      </c>
      <c r="B71" s="16">
        <v>1.37</v>
      </c>
    </row>
    <row r="72" spans="1:2" x14ac:dyDescent="0.35">
      <c r="A72" s="13">
        <v>45139</v>
      </c>
      <c r="B72" s="16">
        <v>1.35</v>
      </c>
    </row>
    <row r="73" spans="1:2" x14ac:dyDescent="0.35">
      <c r="A73" s="13">
        <v>45170</v>
      </c>
      <c r="B73" s="16">
        <v>1.32</v>
      </c>
    </row>
    <row r="74" spans="1:2" x14ac:dyDescent="0.35">
      <c r="A74" s="13">
        <v>45200</v>
      </c>
      <c r="B74" s="16">
        <v>1.3</v>
      </c>
    </row>
    <row r="75" spans="1:2" x14ac:dyDescent="0.35">
      <c r="A75" s="13">
        <v>45231</v>
      </c>
      <c r="B75" s="16">
        <v>1.32</v>
      </c>
    </row>
    <row r="76" spans="1:2" x14ac:dyDescent="0.35">
      <c r="A76" s="13">
        <v>45261</v>
      </c>
      <c r="B76" s="16">
        <v>1.3</v>
      </c>
    </row>
    <row r="77" spans="1:2" x14ac:dyDescent="0.35">
      <c r="A77" s="13">
        <v>45292</v>
      </c>
      <c r="B77" s="16">
        <v>1.3</v>
      </c>
    </row>
    <row r="78" spans="1:2" x14ac:dyDescent="0.35">
      <c r="A78" s="13">
        <v>45323</v>
      </c>
      <c r="B78" s="16">
        <v>1.29</v>
      </c>
    </row>
    <row r="79" spans="1:2" x14ac:dyDescent="0.35">
      <c r="A79" s="13">
        <v>45352</v>
      </c>
      <c r="B79" s="16">
        <v>1.33</v>
      </c>
    </row>
    <row r="80" spans="1:2" x14ac:dyDescent="0.35">
      <c r="A80" s="13">
        <v>45383</v>
      </c>
      <c r="B80" s="16">
        <v>1.32</v>
      </c>
    </row>
    <row r="81" spans="1:2" x14ac:dyDescent="0.35">
      <c r="A81" s="13">
        <v>45413</v>
      </c>
      <c r="B81" s="16">
        <v>1.32</v>
      </c>
    </row>
    <row r="82" spans="1:2" x14ac:dyDescent="0.35">
      <c r="A82" s="13">
        <v>45444</v>
      </c>
      <c r="B82" s="16">
        <v>1.29</v>
      </c>
    </row>
    <row r="83" spans="1:2" x14ac:dyDescent="0.35">
      <c r="A83" s="13">
        <v>45474</v>
      </c>
      <c r="B83" s="16">
        <v>1.26</v>
      </c>
    </row>
    <row r="84" spans="1:2" x14ac:dyDescent="0.35">
      <c r="A84" s="13">
        <v>45505</v>
      </c>
      <c r="B84" s="16">
        <v>1.23</v>
      </c>
    </row>
    <row r="85" spans="1:2" x14ac:dyDescent="0.35">
      <c r="A85" s="13">
        <v>45536</v>
      </c>
      <c r="B85" s="16">
        <v>1.22</v>
      </c>
    </row>
    <row r="86" spans="1:2" x14ac:dyDescent="0.35">
      <c r="A86" s="13">
        <v>45566</v>
      </c>
      <c r="B86" s="16">
        <v>1.18</v>
      </c>
    </row>
    <row r="87" spans="1:2" x14ac:dyDescent="0.35">
      <c r="A87" s="13">
        <v>45597</v>
      </c>
      <c r="B87" s="16">
        <v>1.1499999999999999</v>
      </c>
    </row>
    <row r="88" spans="1:2" x14ac:dyDescent="0.35">
      <c r="A88" s="13">
        <v>45627</v>
      </c>
      <c r="B88" s="16">
        <v>1.1499999999999999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61A1-9179-4B10-9655-23C5C04DF2AB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0.83</v>
      </c>
    </row>
    <row r="6" spans="1:2" x14ac:dyDescent="0.35">
      <c r="A6" s="13">
        <v>43132</v>
      </c>
      <c r="B6" s="16">
        <v>0.9</v>
      </c>
    </row>
    <row r="7" spans="1:2" x14ac:dyDescent="0.35">
      <c r="A7" s="13">
        <v>43160</v>
      </c>
      <c r="B7" s="16">
        <v>0.91</v>
      </c>
    </row>
    <row r="8" spans="1:2" x14ac:dyDescent="0.35">
      <c r="A8" s="13">
        <v>43191</v>
      </c>
      <c r="B8" s="16">
        <v>0.96</v>
      </c>
    </row>
    <row r="9" spans="1:2" x14ac:dyDescent="0.35">
      <c r="A9" s="13">
        <v>43221</v>
      </c>
      <c r="B9" s="16">
        <v>0.98</v>
      </c>
    </row>
    <row r="10" spans="1:2" x14ac:dyDescent="0.35">
      <c r="A10" s="13">
        <v>43252</v>
      </c>
      <c r="B10" s="16">
        <v>0.99</v>
      </c>
    </row>
    <row r="11" spans="1:2" x14ac:dyDescent="0.35">
      <c r="A11" s="13">
        <v>43282</v>
      </c>
      <c r="B11" s="16">
        <v>1.04</v>
      </c>
    </row>
    <row r="12" spans="1:2" x14ac:dyDescent="0.35">
      <c r="A12" s="13">
        <v>43313</v>
      </c>
      <c r="B12" s="16">
        <v>1.07</v>
      </c>
    </row>
    <row r="13" spans="1:2" x14ac:dyDescent="0.35">
      <c r="A13" s="13">
        <v>43344</v>
      </c>
      <c r="B13" s="16">
        <v>1.1299999999999999</v>
      </c>
    </row>
    <row r="14" spans="1:2" x14ac:dyDescent="0.35">
      <c r="A14" s="13">
        <v>43374</v>
      </c>
      <c r="B14" s="16">
        <v>1.1299999999999999</v>
      </c>
    </row>
    <row r="15" spans="1:2" x14ac:dyDescent="0.35">
      <c r="A15" s="13">
        <v>43405</v>
      </c>
      <c r="B15" s="16">
        <v>1.1100000000000001</v>
      </c>
    </row>
    <row r="16" spans="1:2" x14ac:dyDescent="0.35">
      <c r="A16" s="13">
        <v>43435</v>
      </c>
      <c r="B16" s="16">
        <v>1.0900000000000001</v>
      </c>
    </row>
    <row r="17" spans="1:2" x14ac:dyDescent="0.35">
      <c r="A17" s="13">
        <v>43466</v>
      </c>
      <c r="B17" s="16">
        <v>1.1000000000000001</v>
      </c>
    </row>
    <row r="18" spans="1:2" x14ac:dyDescent="0.35">
      <c r="A18" s="13">
        <v>43497</v>
      </c>
      <c r="B18" s="16">
        <v>1.07</v>
      </c>
    </row>
    <row r="19" spans="1:2" x14ac:dyDescent="0.35">
      <c r="A19" s="13">
        <v>43525</v>
      </c>
      <c r="B19" s="16">
        <v>1.06</v>
      </c>
    </row>
    <row r="20" spans="1:2" x14ac:dyDescent="0.35">
      <c r="A20" s="13">
        <v>43556</v>
      </c>
      <c r="B20" s="16">
        <v>1.02</v>
      </c>
    </row>
    <row r="21" spans="1:2" x14ac:dyDescent="0.35">
      <c r="A21" s="13">
        <v>43586</v>
      </c>
      <c r="B21" s="16">
        <v>0.99</v>
      </c>
    </row>
    <row r="22" spans="1:2" x14ac:dyDescent="0.35">
      <c r="A22" s="13">
        <v>43617</v>
      </c>
      <c r="B22" s="16">
        <v>0.96</v>
      </c>
    </row>
    <row r="23" spans="1:2" x14ac:dyDescent="0.35">
      <c r="A23" s="13">
        <v>43647</v>
      </c>
      <c r="B23" s="16">
        <v>0.89</v>
      </c>
    </row>
    <row r="24" spans="1:2" x14ac:dyDescent="0.35">
      <c r="A24" s="13">
        <v>43678</v>
      </c>
      <c r="B24" s="16">
        <v>0.86</v>
      </c>
    </row>
    <row r="25" spans="1:2" x14ac:dyDescent="0.35">
      <c r="A25" s="13">
        <v>43709</v>
      </c>
      <c r="B25" s="16">
        <v>0.83</v>
      </c>
    </row>
    <row r="26" spans="1:2" x14ac:dyDescent="0.35">
      <c r="A26" s="13">
        <v>43739</v>
      </c>
      <c r="B26" s="16">
        <v>0.86</v>
      </c>
    </row>
    <row r="27" spans="1:2" x14ac:dyDescent="0.35">
      <c r="A27" s="13">
        <v>43770</v>
      </c>
      <c r="B27" s="16">
        <v>0.87</v>
      </c>
    </row>
    <row r="28" spans="1:2" x14ac:dyDescent="0.35">
      <c r="A28" s="13">
        <v>43800</v>
      </c>
      <c r="B28" s="16">
        <v>0.9</v>
      </c>
    </row>
    <row r="29" spans="1:2" x14ac:dyDescent="0.35">
      <c r="A29" s="13">
        <v>43831</v>
      </c>
      <c r="B29" s="16">
        <v>0.92</v>
      </c>
    </row>
    <row r="30" spans="1:2" x14ac:dyDescent="0.35">
      <c r="A30" s="13">
        <v>43862</v>
      </c>
      <c r="B30" s="16">
        <v>0.85</v>
      </c>
    </row>
    <row r="31" spans="1:2" x14ac:dyDescent="0.35">
      <c r="A31" s="13">
        <v>43891</v>
      </c>
      <c r="B31" s="16">
        <v>0.66</v>
      </c>
    </row>
    <row r="32" spans="1:2" x14ac:dyDescent="0.35">
      <c r="A32" s="13">
        <v>43922</v>
      </c>
      <c r="B32" s="16">
        <v>0.55000000000000004</v>
      </c>
    </row>
    <row r="33" spans="1:2" x14ac:dyDescent="0.35">
      <c r="A33" s="13">
        <v>43952</v>
      </c>
      <c r="B33" s="16">
        <v>0.55000000000000004</v>
      </c>
    </row>
    <row r="34" spans="1:2" x14ac:dyDescent="0.35">
      <c r="A34" s="13">
        <v>43983</v>
      </c>
      <c r="B34" s="16">
        <v>0.56999999999999995</v>
      </c>
    </row>
    <row r="35" spans="1:2" x14ac:dyDescent="0.35">
      <c r="A35" s="13">
        <v>44013</v>
      </c>
      <c r="B35" s="16">
        <v>0.59</v>
      </c>
    </row>
    <row r="36" spans="1:2" x14ac:dyDescent="0.35">
      <c r="A36" s="13">
        <v>44044</v>
      </c>
      <c r="B36" s="16">
        <v>0.54</v>
      </c>
    </row>
    <row r="37" spans="1:2" x14ac:dyDescent="0.35">
      <c r="A37" s="13">
        <v>44075</v>
      </c>
      <c r="B37" s="16">
        <v>0.56000000000000005</v>
      </c>
    </row>
    <row r="38" spans="1:2" x14ac:dyDescent="0.35">
      <c r="A38" s="13">
        <v>44105</v>
      </c>
      <c r="B38" s="16">
        <v>0.55000000000000004</v>
      </c>
    </row>
    <row r="39" spans="1:2" x14ac:dyDescent="0.35">
      <c r="A39" s="13">
        <v>44136</v>
      </c>
      <c r="B39" s="16">
        <v>0.61</v>
      </c>
    </row>
    <row r="40" spans="1:2" x14ac:dyDescent="0.35">
      <c r="A40" s="13">
        <v>44166</v>
      </c>
      <c r="B40" s="16">
        <v>0.66</v>
      </c>
    </row>
    <row r="41" spans="1:2" x14ac:dyDescent="0.35">
      <c r="A41" s="13">
        <v>44197</v>
      </c>
      <c r="B41" s="16">
        <v>0.74</v>
      </c>
    </row>
    <row r="42" spans="1:2" x14ac:dyDescent="0.35">
      <c r="A42" s="13">
        <v>44228</v>
      </c>
      <c r="B42" s="16">
        <v>0.81</v>
      </c>
    </row>
    <row r="43" spans="1:2" x14ac:dyDescent="0.35">
      <c r="A43" s="13">
        <v>44256</v>
      </c>
      <c r="B43" s="16">
        <v>0.94</v>
      </c>
    </row>
    <row r="44" spans="1:2" x14ac:dyDescent="0.35">
      <c r="A44" s="13">
        <v>44287</v>
      </c>
      <c r="B44" s="16">
        <v>0.94</v>
      </c>
    </row>
    <row r="45" spans="1:2" x14ac:dyDescent="0.35">
      <c r="A45" s="13">
        <v>44317</v>
      </c>
      <c r="B45" s="16">
        <v>0.97</v>
      </c>
    </row>
    <row r="46" spans="1:2" x14ac:dyDescent="0.35">
      <c r="A46" s="13">
        <v>44348</v>
      </c>
      <c r="B46" s="16">
        <v>0.97</v>
      </c>
    </row>
    <row r="47" spans="1:2" x14ac:dyDescent="0.35">
      <c r="A47" s="13">
        <v>44378</v>
      </c>
      <c r="B47" s="16">
        <v>1.02</v>
      </c>
    </row>
    <row r="48" spans="1:2" x14ac:dyDescent="0.35">
      <c r="A48" s="13">
        <v>44409</v>
      </c>
      <c r="B48" s="16">
        <v>1.05</v>
      </c>
    </row>
    <row r="49" spans="1:2" x14ac:dyDescent="0.35">
      <c r="A49" s="13">
        <v>44440</v>
      </c>
      <c r="B49" s="16">
        <v>1.03</v>
      </c>
    </row>
    <row r="50" spans="1:2" x14ac:dyDescent="0.35">
      <c r="A50" s="13">
        <v>44470</v>
      </c>
      <c r="B50" s="16">
        <v>1.08</v>
      </c>
    </row>
    <row r="51" spans="1:2" x14ac:dyDescent="0.35">
      <c r="A51" s="13">
        <v>44501</v>
      </c>
      <c r="B51" s="16">
        <v>1.07</v>
      </c>
    </row>
    <row r="52" spans="1:2" x14ac:dyDescent="0.35">
      <c r="A52" s="13">
        <v>44531</v>
      </c>
      <c r="B52" s="16">
        <v>1.04</v>
      </c>
    </row>
    <row r="53" spans="1:2" x14ac:dyDescent="0.35">
      <c r="A53" s="13">
        <v>44562</v>
      </c>
      <c r="B53" s="16">
        <v>1.1100000000000001</v>
      </c>
    </row>
    <row r="54" spans="1:2" x14ac:dyDescent="0.35">
      <c r="A54" s="13">
        <v>44593</v>
      </c>
      <c r="B54" s="16">
        <v>1.22</v>
      </c>
    </row>
    <row r="55" spans="1:2" x14ac:dyDescent="0.35">
      <c r="A55" s="13">
        <v>44621</v>
      </c>
      <c r="B55" s="16">
        <v>1.36</v>
      </c>
    </row>
    <row r="56" spans="1:2" x14ac:dyDescent="0.35">
      <c r="A56" s="13">
        <v>44652</v>
      </c>
      <c r="B56" s="16">
        <v>1.35</v>
      </c>
    </row>
    <row r="57" spans="1:2" x14ac:dyDescent="0.35">
      <c r="A57" s="13">
        <v>44682</v>
      </c>
      <c r="B57" s="16">
        <v>1.38</v>
      </c>
    </row>
    <row r="58" spans="1:2" x14ac:dyDescent="0.35">
      <c r="A58" s="13">
        <v>44713</v>
      </c>
      <c r="B58" s="16">
        <v>1.68</v>
      </c>
    </row>
    <row r="59" spans="1:2" x14ac:dyDescent="0.35">
      <c r="A59" s="13">
        <v>44743</v>
      </c>
      <c r="B59" s="16">
        <v>1.54</v>
      </c>
    </row>
    <row r="60" spans="1:2" x14ac:dyDescent="0.35">
      <c r="A60" s="13">
        <v>44774</v>
      </c>
      <c r="B60" s="16">
        <v>1.37</v>
      </c>
    </row>
    <row r="61" spans="1:2" x14ac:dyDescent="0.35">
      <c r="A61" s="13">
        <v>44805</v>
      </c>
      <c r="B61" s="16">
        <v>1.27</v>
      </c>
    </row>
    <row r="62" spans="1:2" x14ac:dyDescent="0.35">
      <c r="A62" s="13">
        <v>44835</v>
      </c>
      <c r="B62" s="16">
        <v>1.27</v>
      </c>
    </row>
    <row r="63" spans="1:2" x14ac:dyDescent="0.35">
      <c r="A63" s="13">
        <v>44866</v>
      </c>
      <c r="B63" s="16">
        <v>1.27</v>
      </c>
    </row>
    <row r="64" spans="1:2" x14ac:dyDescent="0.35">
      <c r="A64" s="13">
        <v>44896</v>
      </c>
      <c r="B64" s="16">
        <v>1.1200000000000001</v>
      </c>
    </row>
    <row r="65" spans="1:2" x14ac:dyDescent="0.35">
      <c r="A65" s="13">
        <v>44927</v>
      </c>
      <c r="B65" s="16">
        <v>1.18</v>
      </c>
    </row>
    <row r="66" spans="1:2" x14ac:dyDescent="0.35">
      <c r="A66" s="13">
        <v>44958</v>
      </c>
      <c r="B66" s="16">
        <v>1.1399999999999999</v>
      </c>
    </row>
    <row r="67" spans="1:2" x14ac:dyDescent="0.35">
      <c r="A67" s="13">
        <v>44986</v>
      </c>
      <c r="B67" s="16">
        <v>1.1299999999999999</v>
      </c>
    </row>
    <row r="68" spans="1:2" x14ac:dyDescent="0.35">
      <c r="A68" s="13">
        <v>45017</v>
      </c>
      <c r="B68" s="16">
        <v>1.2</v>
      </c>
    </row>
    <row r="69" spans="1:2" x14ac:dyDescent="0.35">
      <c r="A69" s="13">
        <v>45047</v>
      </c>
      <c r="B69" s="16">
        <v>1.1000000000000001</v>
      </c>
    </row>
    <row r="70" spans="1:2" x14ac:dyDescent="0.35">
      <c r="A70" s="13">
        <v>45078</v>
      </c>
      <c r="B70" s="16">
        <v>1.1200000000000001</v>
      </c>
    </row>
    <row r="71" spans="1:2" x14ac:dyDescent="0.35">
      <c r="A71" s="13">
        <v>45108</v>
      </c>
      <c r="B71" s="16">
        <v>1.19</v>
      </c>
    </row>
    <row r="72" spans="1:2" x14ac:dyDescent="0.35">
      <c r="A72" s="13">
        <v>45139</v>
      </c>
      <c r="B72" s="16">
        <v>1.2</v>
      </c>
    </row>
    <row r="73" spans="1:2" x14ac:dyDescent="0.35">
      <c r="A73" s="13">
        <v>45170</v>
      </c>
      <c r="B73" s="16">
        <v>1.23</v>
      </c>
    </row>
    <row r="74" spans="1:2" x14ac:dyDescent="0.35">
      <c r="A74" s="13">
        <v>45200</v>
      </c>
      <c r="B74" s="16">
        <v>1.18</v>
      </c>
    </row>
    <row r="75" spans="1:2" x14ac:dyDescent="0.35">
      <c r="A75" s="13">
        <v>45231</v>
      </c>
      <c r="B75" s="16">
        <v>1.1200000000000001</v>
      </c>
    </row>
    <row r="76" spans="1:2" x14ac:dyDescent="0.35">
      <c r="A76" s="13">
        <v>45261</v>
      </c>
      <c r="B76" s="16">
        <v>1.0900000000000001</v>
      </c>
    </row>
    <row r="77" spans="1:2" x14ac:dyDescent="0.35">
      <c r="A77" s="13">
        <v>45292</v>
      </c>
      <c r="B77" s="16">
        <v>1.1200000000000001</v>
      </c>
    </row>
    <row r="78" spans="1:2" x14ac:dyDescent="0.35">
      <c r="A78" s="13">
        <v>45323</v>
      </c>
      <c r="B78" s="16">
        <v>1.1499999999999999</v>
      </c>
    </row>
    <row r="79" spans="1:2" x14ac:dyDescent="0.35">
      <c r="A79" s="13">
        <v>45352</v>
      </c>
      <c r="B79" s="16">
        <v>1.17</v>
      </c>
    </row>
    <row r="80" spans="1:2" x14ac:dyDescent="0.35">
      <c r="A80" s="13">
        <v>45383</v>
      </c>
      <c r="B80" s="16">
        <v>1.17</v>
      </c>
    </row>
    <row r="81" spans="1:2" x14ac:dyDescent="0.35">
      <c r="A81" s="13">
        <v>45413</v>
      </c>
      <c r="B81" s="16">
        <v>1.1499999999999999</v>
      </c>
    </row>
    <row r="82" spans="1:2" x14ac:dyDescent="0.35">
      <c r="A82" s="13">
        <v>45444</v>
      </c>
      <c r="B82" s="16">
        <v>1.1599999999999999</v>
      </c>
    </row>
    <row r="83" spans="1:2" x14ac:dyDescent="0.35">
      <c r="A83" s="13">
        <v>45474</v>
      </c>
      <c r="B83" s="16">
        <v>1.1599999999999999</v>
      </c>
    </row>
    <row r="84" spans="1:2" x14ac:dyDescent="0.35">
      <c r="A84" s="13">
        <v>45505</v>
      </c>
      <c r="B84" s="16">
        <v>1.1000000000000001</v>
      </c>
    </row>
    <row r="85" spans="1:2" x14ac:dyDescent="0.35">
      <c r="A85" s="13">
        <v>45536</v>
      </c>
      <c r="B85" s="16">
        <v>1</v>
      </c>
    </row>
    <row r="86" spans="1:2" x14ac:dyDescent="0.35">
      <c r="A86" s="13">
        <v>45566</v>
      </c>
      <c r="B86" s="16">
        <v>0.98</v>
      </c>
    </row>
    <row r="87" spans="1:2" x14ac:dyDescent="0.35">
      <c r="A87" s="13">
        <v>45597</v>
      </c>
      <c r="B87" s="16">
        <v>0.93</v>
      </c>
    </row>
    <row r="88" spans="1:2" x14ac:dyDescent="0.35">
      <c r="A88" s="13">
        <v>45627</v>
      </c>
      <c r="B88" s="16">
        <v>0.91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1F30-53C6-44A7-875C-668EE49973E2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1.71</v>
      </c>
    </row>
    <row r="6" spans="1:2" x14ac:dyDescent="0.35">
      <c r="A6" s="13">
        <v>43132</v>
      </c>
      <c r="B6" s="16">
        <v>1.74</v>
      </c>
    </row>
    <row r="7" spans="1:2" x14ac:dyDescent="0.35">
      <c r="A7" s="13">
        <v>43160</v>
      </c>
      <c r="B7" s="16">
        <v>1.81</v>
      </c>
    </row>
    <row r="8" spans="1:2" x14ac:dyDescent="0.35">
      <c r="A8" s="13">
        <v>43191</v>
      </c>
      <c r="B8" s="16">
        <v>1.87</v>
      </c>
    </row>
    <row r="9" spans="1:2" x14ac:dyDescent="0.35">
      <c r="A9" s="13">
        <v>43221</v>
      </c>
      <c r="B9" s="16">
        <v>1.99</v>
      </c>
    </row>
    <row r="10" spans="1:2" x14ac:dyDescent="0.35">
      <c r="A10" s="13">
        <v>43252</v>
      </c>
      <c r="B10" s="16">
        <v>1.95</v>
      </c>
    </row>
    <row r="11" spans="1:2" x14ac:dyDescent="0.35">
      <c r="A11" s="13">
        <v>43282</v>
      </c>
      <c r="B11" s="16">
        <v>1.96</v>
      </c>
    </row>
    <row r="12" spans="1:2" x14ac:dyDescent="0.35">
      <c r="A12" s="13">
        <v>43313</v>
      </c>
      <c r="B12" s="16">
        <v>2.04</v>
      </c>
    </row>
    <row r="13" spans="1:2" x14ac:dyDescent="0.35">
      <c r="A13" s="13">
        <v>43344</v>
      </c>
      <c r="B13" s="16">
        <v>2.12</v>
      </c>
    </row>
    <row r="14" spans="1:2" x14ac:dyDescent="0.35">
      <c r="A14" s="13">
        <v>43374</v>
      </c>
      <c r="B14" s="16">
        <v>2.11</v>
      </c>
    </row>
    <row r="15" spans="1:2" x14ac:dyDescent="0.35">
      <c r="A15" s="13">
        <v>43405</v>
      </c>
      <c r="B15" s="16">
        <v>2.11</v>
      </c>
    </row>
    <row r="16" spans="1:2" x14ac:dyDescent="0.35">
      <c r="A16" s="13">
        <v>43435</v>
      </c>
      <c r="B16" s="16">
        <v>2.0299999999999998</v>
      </c>
    </row>
    <row r="17" spans="1:2" x14ac:dyDescent="0.35">
      <c r="A17" s="13">
        <v>43466</v>
      </c>
      <c r="B17" s="16">
        <v>2.06</v>
      </c>
    </row>
    <row r="18" spans="1:2" x14ac:dyDescent="0.35">
      <c r="A18" s="13">
        <v>43497</v>
      </c>
      <c r="B18" s="16">
        <v>2.09</v>
      </c>
    </row>
    <row r="19" spans="1:2" x14ac:dyDescent="0.35">
      <c r="A19" s="13">
        <v>43525</v>
      </c>
      <c r="B19" s="16">
        <v>1.86</v>
      </c>
    </row>
    <row r="20" spans="1:2" x14ac:dyDescent="0.35">
      <c r="A20" s="13">
        <v>43556</v>
      </c>
      <c r="B20" s="16">
        <v>1.74</v>
      </c>
    </row>
    <row r="21" spans="1:2" x14ac:dyDescent="0.35">
      <c r="A21" s="13">
        <v>43586</v>
      </c>
      <c r="B21" s="16">
        <v>1.79</v>
      </c>
    </row>
    <row r="22" spans="1:2" x14ac:dyDescent="0.35">
      <c r="A22" s="13">
        <v>43617</v>
      </c>
      <c r="B22" s="16">
        <v>1.84</v>
      </c>
    </row>
    <row r="23" spans="1:2" x14ac:dyDescent="0.35">
      <c r="A23" s="13">
        <v>43647</v>
      </c>
      <c r="B23" s="16">
        <v>1.87</v>
      </c>
    </row>
    <row r="24" spans="1:2" x14ac:dyDescent="0.35">
      <c r="A24" s="13">
        <v>43678</v>
      </c>
      <c r="B24" s="16">
        <v>1.95</v>
      </c>
    </row>
    <row r="25" spans="1:2" x14ac:dyDescent="0.35">
      <c r="A25" s="13">
        <v>43709</v>
      </c>
      <c r="B25" s="16">
        <v>1.93</v>
      </c>
    </row>
    <row r="26" spans="1:2" x14ac:dyDescent="0.35">
      <c r="A26" s="13">
        <v>43739</v>
      </c>
      <c r="B26" s="16">
        <v>1.82</v>
      </c>
    </row>
    <row r="27" spans="1:2" x14ac:dyDescent="0.35">
      <c r="A27" s="13">
        <v>43770</v>
      </c>
      <c r="B27" s="16">
        <v>1.85</v>
      </c>
    </row>
    <row r="28" spans="1:2" x14ac:dyDescent="0.35">
      <c r="A28" s="13">
        <v>43800</v>
      </c>
      <c r="B28" s="16">
        <v>1.78</v>
      </c>
    </row>
    <row r="29" spans="1:2" x14ac:dyDescent="0.35">
      <c r="A29" s="13">
        <v>43831</v>
      </c>
      <c r="B29" s="16">
        <v>1.83</v>
      </c>
    </row>
    <row r="30" spans="1:2" x14ac:dyDescent="0.35">
      <c r="A30" s="13">
        <v>43862</v>
      </c>
      <c r="B30" s="16">
        <v>1.74</v>
      </c>
    </row>
    <row r="31" spans="1:2" x14ac:dyDescent="0.35">
      <c r="A31" s="13">
        <v>43891</v>
      </c>
      <c r="B31" s="16">
        <v>1.75</v>
      </c>
    </row>
    <row r="32" spans="1:2" x14ac:dyDescent="0.35">
      <c r="A32" s="13">
        <v>43922</v>
      </c>
      <c r="B32" s="16">
        <v>1.74</v>
      </c>
    </row>
    <row r="33" spans="1:2" x14ac:dyDescent="0.35">
      <c r="A33" s="13">
        <v>43952</v>
      </c>
      <c r="B33" s="16">
        <v>1.67</v>
      </c>
    </row>
    <row r="34" spans="1:2" x14ac:dyDescent="0.35">
      <c r="A34" s="13">
        <v>43983</v>
      </c>
      <c r="B34" s="16">
        <v>1.55</v>
      </c>
    </row>
    <row r="35" spans="1:2" x14ac:dyDescent="0.35">
      <c r="A35" s="13">
        <v>44013</v>
      </c>
      <c r="B35" s="16">
        <v>1.17</v>
      </c>
    </row>
    <row r="36" spans="1:2" x14ac:dyDescent="0.35">
      <c r="A36" s="13">
        <v>44044</v>
      </c>
      <c r="B36" s="16">
        <v>0.95</v>
      </c>
    </row>
    <row r="37" spans="1:2" x14ac:dyDescent="0.35">
      <c r="A37" s="13">
        <v>44075</v>
      </c>
      <c r="B37" s="16">
        <v>1.1399999999999999</v>
      </c>
    </row>
    <row r="38" spans="1:2" x14ac:dyDescent="0.35">
      <c r="A38" s="13">
        <v>44105</v>
      </c>
      <c r="B38" s="16">
        <v>1.31</v>
      </c>
    </row>
    <row r="39" spans="1:2" x14ac:dyDescent="0.35">
      <c r="A39" s="13">
        <v>44136</v>
      </c>
      <c r="B39" s="16">
        <v>1.36</v>
      </c>
    </row>
    <row r="40" spans="1:2" x14ac:dyDescent="0.35">
      <c r="A40" s="13">
        <v>44166</v>
      </c>
      <c r="B40" s="16">
        <v>1.47</v>
      </c>
    </row>
    <row r="41" spans="1:2" x14ac:dyDescent="0.35">
      <c r="A41" s="13">
        <v>44197</v>
      </c>
      <c r="B41" s="16">
        <v>1.54</v>
      </c>
    </row>
    <row r="42" spans="1:2" x14ac:dyDescent="0.35">
      <c r="A42" s="13">
        <v>44228</v>
      </c>
      <c r="B42" s="16">
        <v>1.59</v>
      </c>
    </row>
    <row r="43" spans="1:2" x14ac:dyDescent="0.35">
      <c r="A43" s="13">
        <v>44256</v>
      </c>
      <c r="B43" s="16">
        <v>1.59</v>
      </c>
    </row>
    <row r="44" spans="1:2" x14ac:dyDescent="0.35">
      <c r="A44" s="13">
        <v>44287</v>
      </c>
      <c r="B44" s="16">
        <v>1.58</v>
      </c>
    </row>
    <row r="45" spans="1:2" x14ac:dyDescent="0.35">
      <c r="A45" s="13">
        <v>44317</v>
      </c>
      <c r="B45" s="16">
        <v>1.63</v>
      </c>
    </row>
    <row r="46" spans="1:2" x14ac:dyDescent="0.35">
      <c r="A46" s="13">
        <v>44348</v>
      </c>
      <c r="B46" s="16">
        <v>1.68</v>
      </c>
    </row>
    <row r="47" spans="1:2" x14ac:dyDescent="0.35">
      <c r="A47" s="13">
        <v>44378</v>
      </c>
      <c r="B47" s="16">
        <v>1.68</v>
      </c>
    </row>
    <row r="48" spans="1:2" x14ac:dyDescent="0.35">
      <c r="A48" s="13">
        <v>44409</v>
      </c>
      <c r="B48" s="16">
        <v>1.65</v>
      </c>
    </row>
    <row r="49" spans="1:2" x14ac:dyDescent="0.35">
      <c r="A49" s="13">
        <v>44440</v>
      </c>
      <c r="B49" s="16">
        <v>1.71</v>
      </c>
    </row>
    <row r="50" spans="1:2" x14ac:dyDescent="0.35">
      <c r="A50" s="13">
        <v>44470</v>
      </c>
      <c r="B50" s="16">
        <v>1.82</v>
      </c>
    </row>
    <row r="51" spans="1:2" x14ac:dyDescent="0.35">
      <c r="A51" s="13">
        <v>44501</v>
      </c>
      <c r="B51" s="16">
        <v>1.84</v>
      </c>
    </row>
    <row r="52" spans="1:2" x14ac:dyDescent="0.35">
      <c r="A52" s="13">
        <v>44531</v>
      </c>
      <c r="B52" s="16">
        <v>1.77</v>
      </c>
    </row>
    <row r="53" spans="1:2" x14ac:dyDescent="0.35">
      <c r="A53" s="13">
        <v>44562</v>
      </c>
      <c r="B53" s="16">
        <v>1.84</v>
      </c>
    </row>
    <row r="54" spans="1:2" x14ac:dyDescent="0.35">
      <c r="A54" s="13">
        <v>44593</v>
      </c>
      <c r="B54" s="16">
        <v>1.92</v>
      </c>
    </row>
    <row r="55" spans="1:2" x14ac:dyDescent="0.35">
      <c r="A55" s="13">
        <v>44621</v>
      </c>
      <c r="B55" s="16">
        <v>2.3199999999999998</v>
      </c>
    </row>
    <row r="56" spans="1:2" x14ac:dyDescent="0.35">
      <c r="A56" s="13">
        <v>44652</v>
      </c>
      <c r="B56" s="16">
        <v>2.25</v>
      </c>
    </row>
    <row r="57" spans="1:2" x14ac:dyDescent="0.35">
      <c r="A57" s="13">
        <v>44682</v>
      </c>
      <c r="B57" s="16">
        <v>2.15</v>
      </c>
    </row>
    <row r="58" spans="1:2" x14ac:dyDescent="0.35">
      <c r="A58" s="13">
        <v>44713</v>
      </c>
      <c r="B58" s="16">
        <v>2.2000000000000002</v>
      </c>
    </row>
    <row r="59" spans="1:2" x14ac:dyDescent="0.35">
      <c r="A59" s="13">
        <v>44743</v>
      </c>
      <c r="B59" s="16">
        <v>2.11</v>
      </c>
    </row>
    <row r="60" spans="1:2" x14ac:dyDescent="0.35">
      <c r="A60" s="13">
        <v>44774</v>
      </c>
      <c r="B60" s="16">
        <v>2.04</v>
      </c>
    </row>
    <row r="61" spans="1:2" x14ac:dyDescent="0.35">
      <c r="A61" s="13">
        <v>44805</v>
      </c>
      <c r="B61" s="16">
        <v>2.0299999999999998</v>
      </c>
    </row>
    <row r="62" spans="1:2" x14ac:dyDescent="0.35">
      <c r="A62" s="13">
        <v>44835</v>
      </c>
      <c r="B62" s="16">
        <v>2.02</v>
      </c>
    </row>
    <row r="63" spans="1:2" x14ac:dyDescent="0.35">
      <c r="A63" s="13">
        <v>44866</v>
      </c>
      <c r="B63" s="16">
        <v>2.06</v>
      </c>
    </row>
    <row r="64" spans="1:2" x14ac:dyDescent="0.35">
      <c r="A64" s="13">
        <v>44896</v>
      </c>
      <c r="B64" s="16">
        <v>1.95</v>
      </c>
    </row>
    <row r="65" spans="1:2" x14ac:dyDescent="0.35">
      <c r="A65" s="13">
        <v>44927</v>
      </c>
      <c r="B65" s="16">
        <v>1.99</v>
      </c>
    </row>
    <row r="66" spans="1:2" x14ac:dyDescent="0.35">
      <c r="A66" s="13">
        <v>44958</v>
      </c>
      <c r="B66" s="16">
        <v>1.92</v>
      </c>
    </row>
    <row r="67" spans="1:2" x14ac:dyDescent="0.35">
      <c r="A67" s="13">
        <v>44986</v>
      </c>
      <c r="B67" s="16">
        <v>1.82</v>
      </c>
    </row>
    <row r="68" spans="1:2" x14ac:dyDescent="0.35">
      <c r="A68" s="13">
        <v>45017</v>
      </c>
      <c r="B68" s="16">
        <v>1.8</v>
      </c>
    </row>
    <row r="69" spans="1:2" x14ac:dyDescent="0.35">
      <c r="A69" s="13">
        <v>45047</v>
      </c>
      <c r="B69" s="16">
        <v>1.69</v>
      </c>
    </row>
    <row r="70" spans="1:2" x14ac:dyDescent="0.35">
      <c r="A70" s="13">
        <v>45078</v>
      </c>
      <c r="B70" s="16">
        <v>1.67</v>
      </c>
    </row>
    <row r="71" spans="1:2" x14ac:dyDescent="0.35">
      <c r="A71" s="13">
        <v>45108</v>
      </c>
      <c r="B71" s="16">
        <v>1.8</v>
      </c>
    </row>
    <row r="72" spans="1:2" x14ac:dyDescent="0.35">
      <c r="A72" s="13">
        <v>45139</v>
      </c>
      <c r="B72" s="16">
        <v>1.92</v>
      </c>
    </row>
    <row r="73" spans="1:2" x14ac:dyDescent="0.35">
      <c r="A73" s="13">
        <v>45170</v>
      </c>
      <c r="B73" s="16">
        <v>1.98</v>
      </c>
    </row>
    <row r="74" spans="1:2" x14ac:dyDescent="0.35">
      <c r="A74" s="13">
        <v>45200</v>
      </c>
      <c r="B74" s="16">
        <v>1.94</v>
      </c>
    </row>
    <row r="75" spans="1:2" x14ac:dyDescent="0.35">
      <c r="A75" s="13">
        <v>45231</v>
      </c>
      <c r="B75" s="16">
        <v>1.9</v>
      </c>
    </row>
    <row r="76" spans="1:2" x14ac:dyDescent="0.35">
      <c r="A76" s="13">
        <v>45261</v>
      </c>
      <c r="B76" s="16">
        <v>1.87</v>
      </c>
    </row>
    <row r="77" spans="1:2" x14ac:dyDescent="0.35">
      <c r="A77" s="13">
        <v>45292</v>
      </c>
      <c r="B77" s="16">
        <v>1.87</v>
      </c>
    </row>
    <row r="78" spans="1:2" x14ac:dyDescent="0.35">
      <c r="A78" s="13">
        <v>45323</v>
      </c>
      <c r="B78" s="16">
        <v>1.9</v>
      </c>
    </row>
    <row r="79" spans="1:2" x14ac:dyDescent="0.35">
      <c r="A79" s="13">
        <v>45352</v>
      </c>
      <c r="B79" s="16">
        <v>1.89</v>
      </c>
    </row>
    <row r="80" spans="1:2" x14ac:dyDescent="0.35">
      <c r="A80" s="13">
        <v>45383</v>
      </c>
      <c r="B80" s="16">
        <v>1.83</v>
      </c>
    </row>
    <row r="81" spans="1:2" x14ac:dyDescent="0.35">
      <c r="A81" s="13">
        <v>45413</v>
      </c>
      <c r="B81" s="16">
        <v>1.79</v>
      </c>
    </row>
    <row r="82" spans="1:2" x14ac:dyDescent="0.35">
      <c r="A82" s="13">
        <v>45444</v>
      </c>
      <c r="B82" s="16">
        <v>1.78</v>
      </c>
    </row>
    <row r="83" spans="1:2" x14ac:dyDescent="0.35">
      <c r="A83" s="13">
        <v>45474</v>
      </c>
      <c r="B83" s="16">
        <v>1.79</v>
      </c>
    </row>
    <row r="84" spans="1:2" x14ac:dyDescent="0.35">
      <c r="A84" s="13">
        <v>45505</v>
      </c>
      <c r="B84" s="16">
        <v>1.77</v>
      </c>
    </row>
    <row r="85" spans="1:2" x14ac:dyDescent="0.35">
      <c r="A85" s="13">
        <v>45536</v>
      </c>
      <c r="B85" s="16">
        <v>1.71</v>
      </c>
    </row>
    <row r="86" spans="1:2" x14ac:dyDescent="0.35">
      <c r="A86" s="13">
        <v>45566</v>
      </c>
      <c r="B86" s="16">
        <v>1.71</v>
      </c>
    </row>
    <row r="87" spans="1:2" x14ac:dyDescent="0.35">
      <c r="A87" s="13">
        <v>45597</v>
      </c>
      <c r="B87" s="16">
        <v>1.73</v>
      </c>
    </row>
    <row r="88" spans="1:2" x14ac:dyDescent="0.35">
      <c r="A88" s="13">
        <v>45627</v>
      </c>
      <c r="B88" s="16">
        <v>1.72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582B-D6D9-4054-B787-802434754057}">
  <dimension ref="A3:B88"/>
  <sheetViews>
    <sheetView zoomScaleNormal="100" workbookViewId="0">
      <selection activeCell="B4" sqref="B4"/>
    </sheetView>
  </sheetViews>
  <sheetFormatPr defaultRowHeight="14.5" x14ac:dyDescent="0.35"/>
  <cols>
    <col min="2" max="2" width="24.453125" customWidth="1"/>
  </cols>
  <sheetData>
    <row r="3" spans="1:2" x14ac:dyDescent="0.35">
      <c r="B3" s="19" t="s">
        <v>57</v>
      </c>
    </row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/>
    </row>
    <row r="8" spans="1:2" x14ac:dyDescent="0.35">
      <c r="A8" s="13">
        <v>43191</v>
      </c>
      <c r="B8" s="16"/>
    </row>
    <row r="9" spans="1:2" x14ac:dyDescent="0.35">
      <c r="A9" s="13">
        <v>43221</v>
      </c>
      <c r="B9" s="16"/>
    </row>
    <row r="10" spans="1:2" x14ac:dyDescent="0.35">
      <c r="A10" s="13">
        <v>43252</v>
      </c>
      <c r="B10" s="16"/>
    </row>
    <row r="11" spans="1:2" x14ac:dyDescent="0.35">
      <c r="A11" s="13">
        <v>43282</v>
      </c>
      <c r="B11" s="16"/>
    </row>
    <row r="12" spans="1:2" x14ac:dyDescent="0.35">
      <c r="A12" s="13">
        <v>43313</v>
      </c>
      <c r="B12" s="16"/>
    </row>
    <row r="13" spans="1:2" x14ac:dyDescent="0.35">
      <c r="A13" s="13">
        <v>43344</v>
      </c>
      <c r="B13" s="16"/>
    </row>
    <row r="14" spans="1:2" x14ac:dyDescent="0.35">
      <c r="A14" s="13">
        <v>43374</v>
      </c>
      <c r="B14" s="16"/>
    </row>
    <row r="15" spans="1:2" x14ac:dyDescent="0.35">
      <c r="A15" s="13">
        <v>43405</v>
      </c>
      <c r="B15" s="16"/>
    </row>
    <row r="16" spans="1:2" x14ac:dyDescent="0.35">
      <c r="A16" s="13">
        <v>43435</v>
      </c>
      <c r="B16" s="16"/>
    </row>
    <row r="17" spans="1:2" x14ac:dyDescent="0.35">
      <c r="A17" s="13">
        <v>43466</v>
      </c>
      <c r="B17" s="16"/>
    </row>
    <row r="18" spans="1:2" x14ac:dyDescent="0.35">
      <c r="A18" s="13">
        <v>43497</v>
      </c>
      <c r="B18" s="16"/>
    </row>
    <row r="19" spans="1:2" x14ac:dyDescent="0.35">
      <c r="A19" s="13">
        <v>43525</v>
      </c>
      <c r="B19" s="16"/>
    </row>
    <row r="20" spans="1:2" x14ac:dyDescent="0.35">
      <c r="A20" s="13">
        <v>43556</v>
      </c>
      <c r="B20" s="16"/>
    </row>
    <row r="21" spans="1:2" x14ac:dyDescent="0.35">
      <c r="A21" s="13">
        <v>43586</v>
      </c>
      <c r="B21" s="16"/>
    </row>
    <row r="22" spans="1:2" x14ac:dyDescent="0.35">
      <c r="A22" s="13">
        <v>43617</v>
      </c>
      <c r="B22" s="16"/>
    </row>
    <row r="23" spans="1:2" x14ac:dyDescent="0.35">
      <c r="A23" s="13">
        <v>43647</v>
      </c>
      <c r="B23" s="16"/>
    </row>
    <row r="24" spans="1:2" x14ac:dyDescent="0.35">
      <c r="A24" s="13">
        <v>43678</v>
      </c>
      <c r="B24" s="16"/>
    </row>
    <row r="25" spans="1:2" x14ac:dyDescent="0.35">
      <c r="A25" s="13">
        <v>43709</v>
      </c>
      <c r="B25" s="16"/>
    </row>
    <row r="26" spans="1:2" x14ac:dyDescent="0.35">
      <c r="A26" s="13">
        <v>43739</v>
      </c>
      <c r="B26" s="16"/>
    </row>
    <row r="27" spans="1:2" x14ac:dyDescent="0.35">
      <c r="A27" s="13">
        <v>43770</v>
      </c>
      <c r="B27" s="16">
        <v>0.56000000000000005</v>
      </c>
    </row>
    <row r="28" spans="1:2" x14ac:dyDescent="0.35">
      <c r="A28" s="13">
        <v>43800</v>
      </c>
      <c r="B28" s="16">
        <v>0.61</v>
      </c>
    </row>
    <row r="29" spans="1:2" x14ac:dyDescent="0.35">
      <c r="A29" s="13">
        <v>43831</v>
      </c>
      <c r="B29" s="16">
        <v>0.65</v>
      </c>
    </row>
    <row r="30" spans="1:2" x14ac:dyDescent="0.35">
      <c r="A30" s="13">
        <v>43862</v>
      </c>
      <c r="B30" s="16">
        <v>0.53</v>
      </c>
    </row>
    <row r="31" spans="1:2" x14ac:dyDescent="0.35">
      <c r="A31" s="13">
        <v>43891</v>
      </c>
      <c r="B31" s="16">
        <v>0.35</v>
      </c>
    </row>
    <row r="32" spans="1:2" x14ac:dyDescent="0.35">
      <c r="A32" s="13">
        <v>43922</v>
      </c>
      <c r="B32" s="16">
        <v>0.25</v>
      </c>
    </row>
    <row r="33" spans="1:2" x14ac:dyDescent="0.35">
      <c r="A33" s="13">
        <v>43952</v>
      </c>
      <c r="B33" s="16">
        <v>0.26</v>
      </c>
    </row>
    <row r="34" spans="1:2" x14ac:dyDescent="0.35">
      <c r="A34" s="13">
        <v>43983</v>
      </c>
      <c r="B34" s="16">
        <v>0.32</v>
      </c>
    </row>
    <row r="35" spans="1:2" x14ac:dyDescent="0.35">
      <c r="A35" s="13">
        <v>44013</v>
      </c>
      <c r="B35" s="16">
        <v>0.34</v>
      </c>
    </row>
    <row r="36" spans="1:2" x14ac:dyDescent="0.35">
      <c r="A36" s="13">
        <v>44044</v>
      </c>
      <c r="B36" s="16">
        <v>0.35</v>
      </c>
    </row>
    <row r="37" spans="1:2" x14ac:dyDescent="0.35">
      <c r="A37" s="13">
        <v>44075</v>
      </c>
      <c r="B37" s="16">
        <v>0.33</v>
      </c>
    </row>
    <row r="38" spans="1:2" x14ac:dyDescent="0.35">
      <c r="A38" s="13">
        <v>44105</v>
      </c>
      <c r="B38" s="16">
        <v>0.33</v>
      </c>
    </row>
    <row r="39" spans="1:2" x14ac:dyDescent="0.35">
      <c r="A39" s="13">
        <v>44136</v>
      </c>
      <c r="B39" s="16">
        <v>0.38</v>
      </c>
    </row>
    <row r="40" spans="1:2" x14ac:dyDescent="0.35">
      <c r="A40" s="13">
        <v>44166</v>
      </c>
      <c r="B40" s="16">
        <v>0.41</v>
      </c>
    </row>
    <row r="41" spans="1:2" x14ac:dyDescent="0.35">
      <c r="A41" s="13">
        <v>44197</v>
      </c>
      <c r="B41" s="16">
        <v>0.45</v>
      </c>
    </row>
    <row r="42" spans="1:2" x14ac:dyDescent="0.35">
      <c r="A42" s="13">
        <v>44228</v>
      </c>
      <c r="B42" s="16">
        <v>0.5</v>
      </c>
    </row>
    <row r="43" spans="1:2" x14ac:dyDescent="0.35">
      <c r="A43" s="13">
        <v>44256</v>
      </c>
      <c r="B43" s="16">
        <v>0.52</v>
      </c>
    </row>
    <row r="44" spans="1:2" x14ac:dyDescent="0.35">
      <c r="A44" s="13">
        <v>44287</v>
      </c>
      <c r="B44" s="16">
        <v>0.5</v>
      </c>
    </row>
    <row r="45" spans="1:2" x14ac:dyDescent="0.35">
      <c r="A45" s="13">
        <v>44317</v>
      </c>
      <c r="B45" s="16">
        <v>0.52</v>
      </c>
    </row>
    <row r="46" spans="1:2" x14ac:dyDescent="0.35">
      <c r="A46" s="13">
        <v>44348</v>
      </c>
      <c r="B46" s="16">
        <v>0.55000000000000004</v>
      </c>
    </row>
    <row r="47" spans="1:2" x14ac:dyDescent="0.35">
      <c r="A47" s="13">
        <v>44378</v>
      </c>
      <c r="B47" s="16">
        <v>0.55000000000000004</v>
      </c>
    </row>
    <row r="48" spans="1:2" x14ac:dyDescent="0.35">
      <c r="A48" s="13">
        <v>44409</v>
      </c>
      <c r="B48" s="16">
        <v>0.54</v>
      </c>
    </row>
    <row r="49" spans="1:2" x14ac:dyDescent="0.35">
      <c r="A49" s="13">
        <v>44440</v>
      </c>
      <c r="B49" s="16">
        <v>0.56000000000000005</v>
      </c>
    </row>
    <row r="50" spans="1:2" x14ac:dyDescent="0.35">
      <c r="A50" s="13">
        <v>44470</v>
      </c>
      <c r="B50" s="16">
        <v>0.62</v>
      </c>
    </row>
    <row r="51" spans="1:2" x14ac:dyDescent="0.35">
      <c r="A51" s="13">
        <v>44501</v>
      </c>
      <c r="B51" s="16">
        <v>0.62</v>
      </c>
    </row>
    <row r="52" spans="1:2" x14ac:dyDescent="0.35">
      <c r="A52" s="13">
        <v>44531</v>
      </c>
      <c r="B52" s="16">
        <v>0.6</v>
      </c>
    </row>
    <row r="53" spans="1:2" x14ac:dyDescent="0.35">
      <c r="A53" s="13">
        <v>44562</v>
      </c>
      <c r="B53" s="16">
        <v>0.67</v>
      </c>
    </row>
    <row r="54" spans="1:2" x14ac:dyDescent="0.35">
      <c r="A54" s="13">
        <v>44593</v>
      </c>
      <c r="B54" s="16">
        <v>0.74</v>
      </c>
    </row>
    <row r="55" spans="1:2" x14ac:dyDescent="0.35">
      <c r="A55" s="13">
        <v>44621</v>
      </c>
      <c r="B55" s="16">
        <v>0.92</v>
      </c>
    </row>
    <row r="56" spans="1:2" x14ac:dyDescent="0.35">
      <c r="A56" s="13">
        <v>44652</v>
      </c>
      <c r="B56" s="16">
        <v>0.91</v>
      </c>
    </row>
    <row r="57" spans="1:2" x14ac:dyDescent="0.35">
      <c r="A57" s="13">
        <v>44682</v>
      </c>
      <c r="B57" s="16">
        <v>0.95</v>
      </c>
    </row>
    <row r="58" spans="1:2" x14ac:dyDescent="0.35">
      <c r="A58" s="13">
        <v>44713</v>
      </c>
      <c r="B58" s="16">
        <v>1.08</v>
      </c>
    </row>
    <row r="59" spans="1:2" x14ac:dyDescent="0.35">
      <c r="A59" s="13">
        <v>44743</v>
      </c>
      <c r="B59" s="16">
        <v>0.98</v>
      </c>
    </row>
    <row r="60" spans="1:2" x14ac:dyDescent="0.35">
      <c r="A60" s="13">
        <v>44774</v>
      </c>
      <c r="B60" s="16">
        <v>0.82</v>
      </c>
    </row>
    <row r="61" spans="1:2" x14ac:dyDescent="0.35">
      <c r="A61" s="13">
        <v>44805</v>
      </c>
      <c r="B61" s="16">
        <v>0.75</v>
      </c>
    </row>
    <row r="62" spans="1:2" x14ac:dyDescent="0.35">
      <c r="A62" s="13">
        <v>44835</v>
      </c>
      <c r="B62" s="16">
        <v>0.75</v>
      </c>
    </row>
    <row r="63" spans="1:2" x14ac:dyDescent="0.35">
      <c r="A63" s="13">
        <v>44866</v>
      </c>
      <c r="B63" s="16">
        <v>0.71</v>
      </c>
    </row>
    <row r="64" spans="1:2" x14ac:dyDescent="0.35">
      <c r="A64" s="13">
        <v>44896</v>
      </c>
      <c r="B64" s="16">
        <v>0.65</v>
      </c>
    </row>
    <row r="65" spans="1:2" x14ac:dyDescent="0.35">
      <c r="A65" s="13">
        <v>44927</v>
      </c>
      <c r="B65" s="16">
        <v>0.67</v>
      </c>
    </row>
    <row r="66" spans="1:2" x14ac:dyDescent="0.35">
      <c r="A66" s="13">
        <v>44958</v>
      </c>
      <c r="B66" s="16">
        <v>0.66</v>
      </c>
    </row>
    <row r="67" spans="1:2" x14ac:dyDescent="0.35">
      <c r="A67" s="13">
        <v>44986</v>
      </c>
      <c r="B67" s="16">
        <v>0.62</v>
      </c>
    </row>
    <row r="68" spans="1:2" x14ac:dyDescent="0.35">
      <c r="A68" s="13">
        <v>45017</v>
      </c>
      <c r="B68" s="16">
        <v>0.63</v>
      </c>
    </row>
    <row r="69" spans="1:2" x14ac:dyDescent="0.35">
      <c r="A69" s="13">
        <v>45047</v>
      </c>
      <c r="B69" s="16">
        <v>0.57999999999999996</v>
      </c>
    </row>
    <row r="70" spans="1:2" x14ac:dyDescent="0.35">
      <c r="A70" s="13">
        <v>45078</v>
      </c>
      <c r="B70" s="16">
        <v>0.6</v>
      </c>
    </row>
    <row r="71" spans="1:2" x14ac:dyDescent="0.35">
      <c r="A71" s="13">
        <v>45108</v>
      </c>
      <c r="B71" s="16">
        <v>0.6</v>
      </c>
    </row>
    <row r="72" spans="1:2" x14ac:dyDescent="0.35">
      <c r="A72" s="13">
        <v>45139</v>
      </c>
      <c r="B72" s="16">
        <v>0.65</v>
      </c>
    </row>
    <row r="73" spans="1:2" x14ac:dyDescent="0.35">
      <c r="A73" s="13">
        <v>45170</v>
      </c>
      <c r="B73" s="16">
        <v>0.68</v>
      </c>
    </row>
    <row r="74" spans="1:2" x14ac:dyDescent="0.35">
      <c r="A74" s="13">
        <v>45200</v>
      </c>
      <c r="B74" s="16">
        <v>0.67</v>
      </c>
    </row>
    <row r="75" spans="1:2" x14ac:dyDescent="0.35">
      <c r="A75" s="13">
        <v>45231</v>
      </c>
      <c r="B75" s="16">
        <v>0.67</v>
      </c>
    </row>
    <row r="76" spans="1:2" x14ac:dyDescent="0.35">
      <c r="A76" s="13">
        <v>45261</v>
      </c>
      <c r="B76" s="16">
        <v>0.63</v>
      </c>
    </row>
    <row r="77" spans="1:2" x14ac:dyDescent="0.35">
      <c r="A77" s="13">
        <v>45292</v>
      </c>
      <c r="B77" s="16">
        <v>0.64</v>
      </c>
    </row>
    <row r="78" spans="1:2" x14ac:dyDescent="0.35">
      <c r="A78" s="13">
        <v>45323</v>
      </c>
      <c r="B78" s="16">
        <v>0.66</v>
      </c>
    </row>
    <row r="79" spans="1:2" x14ac:dyDescent="0.35">
      <c r="A79" s="13">
        <v>45352</v>
      </c>
      <c r="B79" s="16">
        <v>0.66</v>
      </c>
    </row>
    <row r="80" spans="1:2" x14ac:dyDescent="0.35">
      <c r="A80" s="13">
        <v>45383</v>
      </c>
      <c r="B80" s="16">
        <v>0.67</v>
      </c>
    </row>
    <row r="81" spans="1:2" x14ac:dyDescent="0.35">
      <c r="A81" s="13">
        <v>45413</v>
      </c>
      <c r="B81" s="16">
        <v>0.66</v>
      </c>
    </row>
    <row r="82" spans="1:2" x14ac:dyDescent="0.35">
      <c r="A82" s="13">
        <v>45444</v>
      </c>
      <c r="B82" s="16">
        <v>0.61</v>
      </c>
    </row>
    <row r="83" spans="1:2" x14ac:dyDescent="0.35">
      <c r="A83" s="13">
        <v>45474</v>
      </c>
      <c r="B83" s="16">
        <v>0.64</v>
      </c>
    </row>
    <row r="84" spans="1:2" x14ac:dyDescent="0.35">
      <c r="A84" s="13">
        <v>45505</v>
      </c>
      <c r="B84" s="16">
        <v>0.62</v>
      </c>
    </row>
    <row r="85" spans="1:2" x14ac:dyDescent="0.35">
      <c r="A85" s="13">
        <v>45536</v>
      </c>
      <c r="B85" s="16">
        <v>0.63</v>
      </c>
    </row>
    <row r="86" spans="1:2" x14ac:dyDescent="0.35">
      <c r="A86" s="13">
        <v>45566</v>
      </c>
      <c r="B86" s="16">
        <v>0.59</v>
      </c>
    </row>
    <row r="87" spans="1:2" x14ac:dyDescent="0.35">
      <c r="A87" s="13">
        <v>45597</v>
      </c>
      <c r="B87" s="16">
        <v>0.6</v>
      </c>
    </row>
    <row r="88" spans="1:2" x14ac:dyDescent="0.35">
      <c r="A88" s="13">
        <v>45627</v>
      </c>
      <c r="B88" s="16">
        <v>0.57999999999999996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D37C-B84A-449B-9DD3-E1821D97BDFF}">
  <dimension ref="A4:B88"/>
  <sheetViews>
    <sheetView workbookViewId="0">
      <pane xSplit="1" topLeftCell="B1" activePane="topRight" state="frozen"/>
      <selection pane="topRight"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2.92</v>
      </c>
    </row>
    <row r="6" spans="1:2" x14ac:dyDescent="0.35">
      <c r="A6" s="13">
        <v>43132</v>
      </c>
      <c r="B6" s="16">
        <v>3.14</v>
      </c>
    </row>
    <row r="7" spans="1:2" x14ac:dyDescent="0.35">
      <c r="A7" s="13">
        <v>43160</v>
      </c>
      <c r="B7" s="16">
        <v>2.97</v>
      </c>
    </row>
    <row r="8" spans="1:2" x14ac:dyDescent="0.35">
      <c r="A8" s="13">
        <v>43191</v>
      </c>
      <c r="B8" s="16">
        <v>3.01</v>
      </c>
    </row>
    <row r="9" spans="1:2" x14ac:dyDescent="0.35">
      <c r="A9" s="13">
        <v>43221</v>
      </c>
      <c r="B9" s="16">
        <v>3.06</v>
      </c>
    </row>
    <row r="10" spans="1:2" x14ac:dyDescent="0.35">
      <c r="A10" s="13">
        <v>43252</v>
      </c>
      <c r="B10" s="16">
        <v>3.1</v>
      </c>
    </row>
    <row r="11" spans="1:2" x14ac:dyDescent="0.35">
      <c r="A11" s="13">
        <v>43282</v>
      </c>
      <c r="B11" s="16">
        <v>3.13</v>
      </c>
    </row>
    <row r="12" spans="1:2" x14ac:dyDescent="0.35">
      <c r="A12" s="13">
        <v>43313</v>
      </c>
      <c r="B12" s="16">
        <v>3.09</v>
      </c>
    </row>
    <row r="13" spans="1:2" x14ac:dyDescent="0.35">
      <c r="A13" s="13">
        <v>43344</v>
      </c>
      <c r="B13" s="16">
        <v>3.16</v>
      </c>
    </row>
    <row r="14" spans="1:2" x14ac:dyDescent="0.35">
      <c r="A14" s="13">
        <v>43374</v>
      </c>
      <c r="B14" s="16">
        <v>3.1</v>
      </c>
    </row>
    <row r="15" spans="1:2" x14ac:dyDescent="0.35">
      <c r="A15" s="13">
        <v>43405</v>
      </c>
      <c r="B15" s="16">
        <v>3.05</v>
      </c>
    </row>
    <row r="16" spans="1:2" x14ac:dyDescent="0.35">
      <c r="A16" s="13">
        <v>43435</v>
      </c>
      <c r="B16" s="16">
        <v>3.06</v>
      </c>
    </row>
    <row r="17" spans="1:2" x14ac:dyDescent="0.35">
      <c r="A17" s="13">
        <v>43466</v>
      </c>
      <c r="B17" s="16">
        <v>3.07</v>
      </c>
    </row>
    <row r="18" spans="1:2" x14ac:dyDescent="0.35">
      <c r="A18" s="13">
        <v>43497</v>
      </c>
      <c r="B18" s="16">
        <v>3.04</v>
      </c>
    </row>
    <row r="19" spans="1:2" x14ac:dyDescent="0.35">
      <c r="A19" s="13">
        <v>43525</v>
      </c>
      <c r="B19" s="16">
        <v>3.11</v>
      </c>
    </row>
    <row r="20" spans="1:2" x14ac:dyDescent="0.35">
      <c r="A20" s="13">
        <v>43556</v>
      </c>
      <c r="B20" s="16">
        <v>3.1</v>
      </c>
    </row>
    <row r="21" spans="1:2" x14ac:dyDescent="0.35">
      <c r="A21" s="13">
        <v>43586</v>
      </c>
      <c r="B21" s="16">
        <v>3.14</v>
      </c>
    </row>
    <row r="22" spans="1:2" x14ac:dyDescent="0.35">
      <c r="A22" s="13">
        <v>43617</v>
      </c>
      <c r="B22" s="16">
        <v>3.21</v>
      </c>
    </row>
    <row r="23" spans="1:2" x14ac:dyDescent="0.35">
      <c r="A23" s="13">
        <v>43647</v>
      </c>
      <c r="B23" s="16">
        <v>3.06</v>
      </c>
    </row>
    <row r="24" spans="1:2" x14ac:dyDescent="0.35">
      <c r="A24" s="13">
        <v>43678</v>
      </c>
      <c r="B24" s="16">
        <v>3.16</v>
      </c>
    </row>
    <row r="25" spans="1:2" x14ac:dyDescent="0.35">
      <c r="A25" s="13">
        <v>43709</v>
      </c>
      <c r="B25" s="16">
        <v>3.07</v>
      </c>
    </row>
    <row r="26" spans="1:2" x14ac:dyDescent="0.35">
      <c r="A26" s="13">
        <v>43739</v>
      </c>
      <c r="B26" s="16">
        <v>3.07</v>
      </c>
    </row>
    <row r="27" spans="1:2" x14ac:dyDescent="0.35">
      <c r="A27" s="13">
        <v>43770</v>
      </c>
      <c r="B27" s="16">
        <v>3</v>
      </c>
    </row>
    <row r="28" spans="1:2" x14ac:dyDescent="0.35">
      <c r="A28" s="13">
        <v>43800</v>
      </c>
      <c r="B28" s="16">
        <v>2.98</v>
      </c>
    </row>
    <row r="29" spans="1:2" x14ac:dyDescent="0.35">
      <c r="A29" s="13">
        <v>43831</v>
      </c>
      <c r="B29" s="16">
        <v>3.02</v>
      </c>
    </row>
    <row r="30" spans="1:2" x14ac:dyDescent="0.35">
      <c r="A30" s="13">
        <v>43862</v>
      </c>
      <c r="B30" s="16">
        <v>2.99</v>
      </c>
    </row>
    <row r="31" spans="1:2" x14ac:dyDescent="0.35">
      <c r="A31" s="13">
        <v>43891</v>
      </c>
      <c r="B31" s="16">
        <v>3.09</v>
      </c>
    </row>
    <row r="32" spans="1:2" x14ac:dyDescent="0.35">
      <c r="A32" s="13">
        <v>43922</v>
      </c>
      <c r="B32" s="16">
        <v>3.04</v>
      </c>
    </row>
    <row r="33" spans="1:2" x14ac:dyDescent="0.35">
      <c r="A33" s="13">
        <v>43952</v>
      </c>
      <c r="B33" s="16">
        <v>2.96</v>
      </c>
    </row>
    <row r="34" spans="1:2" x14ac:dyDescent="0.35">
      <c r="A34" s="13">
        <v>43983</v>
      </c>
      <c r="B34" s="16">
        <v>2.93</v>
      </c>
    </row>
    <row r="35" spans="1:2" x14ac:dyDescent="0.35">
      <c r="A35" s="13">
        <v>44013</v>
      </c>
      <c r="B35" s="16">
        <v>2.89</v>
      </c>
    </row>
    <row r="36" spans="1:2" x14ac:dyDescent="0.35">
      <c r="A36" s="13">
        <v>44044</v>
      </c>
      <c r="B36" s="16">
        <v>2.83</v>
      </c>
    </row>
    <row r="37" spans="1:2" x14ac:dyDescent="0.35">
      <c r="A37" s="13">
        <v>44075</v>
      </c>
      <c r="B37" s="16">
        <v>2.68</v>
      </c>
    </row>
    <row r="38" spans="1:2" x14ac:dyDescent="0.35">
      <c r="A38" s="13">
        <v>44105</v>
      </c>
      <c r="B38" s="16">
        <v>2.64</v>
      </c>
    </row>
    <row r="39" spans="1:2" x14ac:dyDescent="0.35">
      <c r="A39" s="13">
        <v>44136</v>
      </c>
      <c r="B39" s="16">
        <v>2.65</v>
      </c>
    </row>
    <row r="40" spans="1:2" x14ac:dyDescent="0.35">
      <c r="A40" s="13">
        <v>44166</v>
      </c>
      <c r="B40" s="16">
        <v>2.73</v>
      </c>
    </row>
    <row r="41" spans="1:2" x14ac:dyDescent="0.35">
      <c r="A41" s="13">
        <v>44197</v>
      </c>
      <c r="B41" s="16">
        <v>2.75</v>
      </c>
    </row>
    <row r="42" spans="1:2" x14ac:dyDescent="0.35">
      <c r="A42" s="13">
        <v>44228</v>
      </c>
      <c r="B42" s="16">
        <v>2.81</v>
      </c>
    </row>
    <row r="43" spans="1:2" x14ac:dyDescent="0.35">
      <c r="A43" s="13">
        <v>44256</v>
      </c>
      <c r="B43" s="16">
        <v>2.79</v>
      </c>
    </row>
    <row r="44" spans="1:2" x14ac:dyDescent="0.35">
      <c r="A44" s="13">
        <v>44287</v>
      </c>
      <c r="B44" s="16">
        <v>2.87</v>
      </c>
    </row>
    <row r="45" spans="1:2" x14ac:dyDescent="0.35">
      <c r="A45" s="13">
        <v>44317</v>
      </c>
      <c r="B45" s="16">
        <v>2.96</v>
      </c>
    </row>
    <row r="46" spans="1:2" x14ac:dyDescent="0.35">
      <c r="A46" s="13">
        <v>44348</v>
      </c>
      <c r="B46" s="16">
        <v>2.97</v>
      </c>
    </row>
    <row r="47" spans="1:2" x14ac:dyDescent="0.35">
      <c r="A47" s="13">
        <v>44378</v>
      </c>
      <c r="B47" s="16">
        <v>2.89</v>
      </c>
    </row>
    <row r="48" spans="1:2" x14ac:dyDescent="0.35">
      <c r="A48" s="13">
        <v>44409</v>
      </c>
      <c r="B48" s="16">
        <v>2.95</v>
      </c>
    </row>
    <row r="49" spans="1:2" x14ac:dyDescent="0.35">
      <c r="A49" s="13">
        <v>44440</v>
      </c>
      <c r="B49" s="16">
        <v>2.94</v>
      </c>
    </row>
    <row r="50" spans="1:2" x14ac:dyDescent="0.35">
      <c r="A50" s="13">
        <v>44470</v>
      </c>
      <c r="B50" s="16">
        <v>2.9</v>
      </c>
    </row>
    <row r="51" spans="1:2" x14ac:dyDescent="0.35">
      <c r="A51" s="13">
        <v>44501</v>
      </c>
      <c r="B51" s="16">
        <v>2.9</v>
      </c>
    </row>
    <row r="52" spans="1:2" x14ac:dyDescent="0.35">
      <c r="A52" s="13">
        <v>44531</v>
      </c>
      <c r="B52" s="16">
        <v>2.96</v>
      </c>
    </row>
    <row r="53" spans="1:2" x14ac:dyDescent="0.35">
      <c r="A53" s="13">
        <v>44562</v>
      </c>
      <c r="B53" s="16">
        <v>3</v>
      </c>
    </row>
    <row r="54" spans="1:2" x14ac:dyDescent="0.35">
      <c r="A54" s="13">
        <v>44593</v>
      </c>
      <c r="B54" s="16">
        <v>3.09</v>
      </c>
    </row>
    <row r="55" spans="1:2" x14ac:dyDescent="0.35">
      <c r="A55" s="13">
        <v>44621</v>
      </c>
      <c r="B55" s="16">
        <v>3.13</v>
      </c>
    </row>
    <row r="56" spans="1:2" x14ac:dyDescent="0.35">
      <c r="A56" s="13">
        <v>44652</v>
      </c>
      <c r="B56" s="16">
        <v>3.23</v>
      </c>
    </row>
    <row r="57" spans="1:2" x14ac:dyDescent="0.35">
      <c r="A57" s="13">
        <v>44682</v>
      </c>
      <c r="B57" s="16">
        <v>3.25</v>
      </c>
    </row>
    <row r="58" spans="1:2" x14ac:dyDescent="0.35">
      <c r="A58" s="13">
        <v>44713</v>
      </c>
      <c r="B58" s="16">
        <v>3.42</v>
      </c>
    </row>
    <row r="59" spans="1:2" x14ac:dyDescent="0.35">
      <c r="A59" s="13">
        <v>44743</v>
      </c>
      <c r="B59" s="16">
        <v>3.54</v>
      </c>
    </row>
    <row r="60" spans="1:2" x14ac:dyDescent="0.35">
      <c r="A60" s="13">
        <v>44774</v>
      </c>
      <c r="B60" s="16">
        <v>3.58</v>
      </c>
    </row>
    <row r="61" spans="1:2" x14ac:dyDescent="0.35">
      <c r="A61" s="13">
        <v>44805</v>
      </c>
      <c r="B61" s="16">
        <v>3.55</v>
      </c>
    </row>
    <row r="62" spans="1:2" x14ac:dyDescent="0.35">
      <c r="A62" s="13">
        <v>44835</v>
      </c>
      <c r="B62" s="16">
        <v>3.49</v>
      </c>
    </row>
    <row r="63" spans="1:2" x14ac:dyDescent="0.35">
      <c r="A63" s="13">
        <v>44866</v>
      </c>
      <c r="B63" s="16">
        <v>3.53</v>
      </c>
    </row>
    <row r="64" spans="1:2" x14ac:dyDescent="0.35">
      <c r="A64" s="13">
        <v>44896</v>
      </c>
      <c r="B64" s="16">
        <v>3.46</v>
      </c>
    </row>
    <row r="65" spans="1:2" x14ac:dyDescent="0.35">
      <c r="A65" s="13">
        <v>44927</v>
      </c>
      <c r="B65" s="16">
        <v>3.37</v>
      </c>
    </row>
    <row r="66" spans="1:2" x14ac:dyDescent="0.35">
      <c r="A66" s="13">
        <v>44958</v>
      </c>
      <c r="B66" s="16">
        <v>3.17</v>
      </c>
    </row>
    <row r="67" spans="1:2" x14ac:dyDescent="0.35">
      <c r="A67" s="13">
        <v>44986</v>
      </c>
      <c r="B67" s="16">
        <v>3.07</v>
      </c>
    </row>
    <row r="68" spans="1:2" x14ac:dyDescent="0.35">
      <c r="A68" s="13">
        <v>45017</v>
      </c>
      <c r="B68" s="16">
        <v>3.06</v>
      </c>
    </row>
    <row r="69" spans="1:2" x14ac:dyDescent="0.35">
      <c r="A69" s="13">
        <v>45047</v>
      </c>
      <c r="B69" s="16">
        <v>2.98</v>
      </c>
    </row>
    <row r="70" spans="1:2" x14ac:dyDescent="0.35">
      <c r="A70" s="13">
        <v>45078</v>
      </c>
      <c r="B70" s="16">
        <v>2.97</v>
      </c>
    </row>
    <row r="71" spans="1:2" x14ac:dyDescent="0.35">
      <c r="A71" s="13">
        <v>45108</v>
      </c>
      <c r="B71" s="16">
        <v>3.07</v>
      </c>
    </row>
    <row r="72" spans="1:2" x14ac:dyDescent="0.35">
      <c r="A72" s="13">
        <v>45139</v>
      </c>
      <c r="B72" s="16">
        <v>3.01</v>
      </c>
    </row>
    <row r="73" spans="1:2" x14ac:dyDescent="0.35">
      <c r="A73" s="13">
        <v>45170</v>
      </c>
      <c r="B73" s="16">
        <v>2.99</v>
      </c>
    </row>
    <row r="74" spans="1:2" x14ac:dyDescent="0.35">
      <c r="A74" s="13">
        <v>45200</v>
      </c>
      <c r="B74" s="16">
        <v>3.04</v>
      </c>
    </row>
    <row r="75" spans="1:2" x14ac:dyDescent="0.35">
      <c r="A75" s="13">
        <v>45231</v>
      </c>
      <c r="B75" s="16">
        <v>3.04</v>
      </c>
    </row>
    <row r="76" spans="1:2" x14ac:dyDescent="0.35">
      <c r="A76" s="13">
        <v>45261</v>
      </c>
      <c r="B76" s="16">
        <v>3.05</v>
      </c>
    </row>
    <row r="77" spans="1:2" x14ac:dyDescent="0.35">
      <c r="A77" s="13">
        <v>45292</v>
      </c>
      <c r="B77" s="16">
        <v>3.02</v>
      </c>
    </row>
    <row r="78" spans="1:2" x14ac:dyDescent="0.35">
      <c r="A78" s="13">
        <v>45323</v>
      </c>
      <c r="B78" s="16">
        <v>2.97</v>
      </c>
    </row>
    <row r="79" spans="1:2" x14ac:dyDescent="0.35">
      <c r="A79" s="13">
        <v>45352</v>
      </c>
      <c r="B79" s="16">
        <v>2.93</v>
      </c>
    </row>
    <row r="80" spans="1:2" x14ac:dyDescent="0.35">
      <c r="A80" s="13">
        <v>45383</v>
      </c>
      <c r="B80" s="16">
        <v>2.95</v>
      </c>
    </row>
    <row r="81" spans="1:2" x14ac:dyDescent="0.35">
      <c r="A81" s="13">
        <v>45413</v>
      </c>
      <c r="B81" s="16">
        <v>2.99</v>
      </c>
    </row>
    <row r="82" spans="1:2" x14ac:dyDescent="0.35">
      <c r="A82" s="13">
        <v>45444</v>
      </c>
      <c r="B82" s="16">
        <v>3.06</v>
      </c>
    </row>
    <row r="83" spans="1:2" x14ac:dyDescent="0.35">
      <c r="A83" s="13">
        <v>45474</v>
      </c>
      <c r="B83" s="16">
        <v>3.13</v>
      </c>
    </row>
    <row r="84" spans="1:2" x14ac:dyDescent="0.35">
      <c r="A84" s="13">
        <v>45505</v>
      </c>
      <c r="B84" s="16">
        <v>3.15</v>
      </c>
    </row>
    <row r="85" spans="1:2" x14ac:dyDescent="0.35">
      <c r="A85" s="13">
        <v>45536</v>
      </c>
      <c r="B85" s="16">
        <v>3.19</v>
      </c>
    </row>
    <row r="86" spans="1:2" x14ac:dyDescent="0.35">
      <c r="A86" s="13">
        <v>45566</v>
      </c>
      <c r="B86" s="16">
        <v>3.11</v>
      </c>
    </row>
    <row r="87" spans="1:2" x14ac:dyDescent="0.35">
      <c r="A87" s="13">
        <v>45597</v>
      </c>
      <c r="B87" s="16">
        <v>3</v>
      </c>
    </row>
    <row r="88" spans="1:2" x14ac:dyDescent="0.35">
      <c r="A88" s="13">
        <v>45627</v>
      </c>
      <c r="B88" s="16">
        <v>2.98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C91D-BF54-46ED-8F12-768F04BC7FF2}">
  <dimension ref="A4:B88"/>
  <sheetViews>
    <sheetView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1.4</v>
      </c>
    </row>
    <row r="6" spans="1:2" x14ac:dyDescent="0.35">
      <c r="A6" s="13">
        <v>43132</v>
      </c>
      <c r="B6" s="16">
        <v>1.53</v>
      </c>
    </row>
    <row r="7" spans="1:2" x14ac:dyDescent="0.35">
      <c r="A7" s="13">
        <v>43160</v>
      </c>
      <c r="B7" s="16">
        <v>1.53</v>
      </c>
    </row>
    <row r="8" spans="1:2" x14ac:dyDescent="0.35">
      <c r="A8" s="13">
        <v>43191</v>
      </c>
      <c r="B8" s="16">
        <v>1.5</v>
      </c>
    </row>
    <row r="9" spans="1:2" x14ac:dyDescent="0.35">
      <c r="A9" s="13">
        <v>43221</v>
      </c>
      <c r="B9" s="16">
        <v>1.51</v>
      </c>
    </row>
    <row r="10" spans="1:2" x14ac:dyDescent="0.35">
      <c r="A10" s="13">
        <v>43252</v>
      </c>
      <c r="B10" s="16">
        <v>1.52</v>
      </c>
    </row>
    <row r="11" spans="1:2" x14ac:dyDescent="0.35">
      <c r="A11" s="13">
        <v>43282</v>
      </c>
      <c r="B11" s="16">
        <v>1.51</v>
      </c>
    </row>
    <row r="12" spans="1:2" x14ac:dyDescent="0.35">
      <c r="A12" s="13">
        <v>43313</v>
      </c>
      <c r="B12" s="16">
        <v>1.48</v>
      </c>
    </row>
    <row r="13" spans="1:2" x14ac:dyDescent="0.35">
      <c r="A13" s="13">
        <v>43344</v>
      </c>
      <c r="B13" s="16">
        <v>1.49</v>
      </c>
    </row>
    <row r="14" spans="1:2" x14ac:dyDescent="0.35">
      <c r="A14" s="13">
        <v>43374</v>
      </c>
      <c r="B14" s="16">
        <v>1.48</v>
      </c>
    </row>
    <row r="15" spans="1:2" x14ac:dyDescent="0.35">
      <c r="A15" s="13">
        <v>43405</v>
      </c>
      <c r="B15" s="16">
        <v>1.46</v>
      </c>
    </row>
    <row r="16" spans="1:2" x14ac:dyDescent="0.35">
      <c r="A16" s="13">
        <v>43435</v>
      </c>
      <c r="B16" s="16">
        <v>1.41</v>
      </c>
    </row>
    <row r="17" spans="1:2" x14ac:dyDescent="0.35">
      <c r="A17" s="13">
        <v>43466</v>
      </c>
      <c r="B17" s="16">
        <v>1.38</v>
      </c>
    </row>
    <row r="18" spans="1:2" x14ac:dyDescent="0.35">
      <c r="A18" s="13">
        <v>43497</v>
      </c>
      <c r="B18" s="16">
        <v>1.4</v>
      </c>
    </row>
    <row r="19" spans="1:2" x14ac:dyDescent="0.35">
      <c r="A19" s="13">
        <v>43525</v>
      </c>
      <c r="B19" s="16">
        <v>1.44</v>
      </c>
    </row>
    <row r="20" spans="1:2" x14ac:dyDescent="0.35">
      <c r="A20" s="13">
        <v>43556</v>
      </c>
      <c r="B20" s="16">
        <v>1.45</v>
      </c>
    </row>
    <row r="21" spans="1:2" x14ac:dyDescent="0.35">
      <c r="A21" s="13">
        <v>43586</v>
      </c>
      <c r="B21" s="16">
        <v>1.44</v>
      </c>
    </row>
    <row r="22" spans="1:2" x14ac:dyDescent="0.35">
      <c r="A22" s="13">
        <v>43617</v>
      </c>
      <c r="B22" s="16">
        <v>1.41</v>
      </c>
    </row>
    <row r="23" spans="1:2" x14ac:dyDescent="0.35">
      <c r="A23" s="13">
        <v>43647</v>
      </c>
      <c r="B23" s="16">
        <v>1.35</v>
      </c>
    </row>
    <row r="24" spans="1:2" x14ac:dyDescent="0.35">
      <c r="A24" s="13">
        <v>43678</v>
      </c>
      <c r="B24" s="16">
        <v>1.3</v>
      </c>
    </row>
    <row r="25" spans="1:2" x14ac:dyDescent="0.35">
      <c r="A25" s="13">
        <v>43709</v>
      </c>
      <c r="B25" s="16">
        <v>1.26</v>
      </c>
    </row>
    <row r="26" spans="1:2" x14ac:dyDescent="0.35">
      <c r="A26" s="13">
        <v>43739</v>
      </c>
      <c r="B26" s="16">
        <v>1.26</v>
      </c>
    </row>
    <row r="27" spans="1:2" x14ac:dyDescent="0.35">
      <c r="A27" s="13">
        <v>43770</v>
      </c>
      <c r="B27" s="16">
        <v>1.23</v>
      </c>
    </row>
    <row r="28" spans="1:2" x14ac:dyDescent="0.35">
      <c r="A28" s="13">
        <v>43800</v>
      </c>
      <c r="B28" s="16">
        <v>1.23</v>
      </c>
    </row>
    <row r="29" spans="1:2" x14ac:dyDescent="0.35">
      <c r="A29" s="13">
        <v>43831</v>
      </c>
      <c r="B29" s="16">
        <v>1.26</v>
      </c>
    </row>
    <row r="30" spans="1:2" x14ac:dyDescent="0.35">
      <c r="A30" s="13">
        <v>43862</v>
      </c>
      <c r="B30" s="16">
        <v>1.26</v>
      </c>
    </row>
    <row r="31" spans="1:2" x14ac:dyDescent="0.35">
      <c r="A31" s="13">
        <v>43891</v>
      </c>
      <c r="B31" s="16">
        <v>1.21</v>
      </c>
    </row>
    <row r="32" spans="1:2" x14ac:dyDescent="0.35">
      <c r="A32" s="13">
        <v>43922</v>
      </c>
      <c r="B32" s="16">
        <v>1.06</v>
      </c>
    </row>
    <row r="33" spans="1:2" x14ac:dyDescent="0.35">
      <c r="A33" s="13">
        <v>43952</v>
      </c>
      <c r="B33" s="16">
        <v>1.04</v>
      </c>
    </row>
    <row r="34" spans="1:2" x14ac:dyDescent="0.35">
      <c r="A34" s="13">
        <v>43983</v>
      </c>
      <c r="B34" s="16">
        <v>1.1000000000000001</v>
      </c>
    </row>
    <row r="35" spans="1:2" x14ac:dyDescent="0.35">
      <c r="A35" s="13">
        <v>44013</v>
      </c>
      <c r="B35" s="16">
        <v>1.1499999999999999</v>
      </c>
    </row>
    <row r="36" spans="1:2" x14ac:dyDescent="0.35">
      <c r="A36" s="13">
        <v>44044</v>
      </c>
      <c r="B36" s="16">
        <v>1.2</v>
      </c>
    </row>
    <row r="37" spans="1:2" x14ac:dyDescent="0.35">
      <c r="A37" s="13">
        <v>44075</v>
      </c>
      <c r="B37" s="16">
        <v>1.2</v>
      </c>
    </row>
    <row r="38" spans="1:2" x14ac:dyDescent="0.35">
      <c r="A38" s="13">
        <v>44105</v>
      </c>
      <c r="B38" s="16">
        <v>1.2</v>
      </c>
    </row>
    <row r="39" spans="1:2" x14ac:dyDescent="0.35">
      <c r="A39" s="13">
        <v>44136</v>
      </c>
      <c r="B39" s="16">
        <v>1.23</v>
      </c>
    </row>
    <row r="40" spans="1:2" x14ac:dyDescent="0.35">
      <c r="A40" s="13">
        <v>44166</v>
      </c>
      <c r="B40" s="16">
        <v>1.3</v>
      </c>
    </row>
    <row r="41" spans="1:2" x14ac:dyDescent="0.35">
      <c r="A41" s="13">
        <v>44197</v>
      </c>
      <c r="B41" s="16">
        <v>1.42</v>
      </c>
    </row>
    <row r="42" spans="1:2" x14ac:dyDescent="0.35">
      <c r="A42" s="13">
        <v>44228</v>
      </c>
      <c r="B42" s="16">
        <v>1.59</v>
      </c>
    </row>
    <row r="43" spans="1:2" x14ac:dyDescent="0.35">
      <c r="A43" s="13">
        <v>44256</v>
      </c>
      <c r="B43" s="16">
        <v>1.79</v>
      </c>
    </row>
    <row r="44" spans="1:2" x14ac:dyDescent="0.35">
      <c r="A44" s="13">
        <v>44287</v>
      </c>
      <c r="B44" s="16">
        <v>1.99</v>
      </c>
    </row>
    <row r="45" spans="1:2" x14ac:dyDescent="0.35">
      <c r="A45" s="13">
        <v>44317</v>
      </c>
      <c r="B45" s="16">
        <v>2.09</v>
      </c>
    </row>
    <row r="46" spans="1:2" x14ac:dyDescent="0.35">
      <c r="A46" s="13">
        <v>44348</v>
      </c>
      <c r="B46" s="16">
        <v>2.11</v>
      </c>
    </row>
    <row r="47" spans="1:2" x14ac:dyDescent="0.35">
      <c r="A47" s="13">
        <v>44378</v>
      </c>
      <c r="B47" s="16">
        <v>2.0499999999999998</v>
      </c>
    </row>
    <row r="48" spans="1:2" x14ac:dyDescent="0.35">
      <c r="A48" s="13">
        <v>44409</v>
      </c>
      <c r="B48" s="16">
        <v>2.04</v>
      </c>
    </row>
    <row r="49" spans="1:2" x14ac:dyDescent="0.35">
      <c r="A49" s="13">
        <v>44440</v>
      </c>
      <c r="B49" s="16">
        <v>2.0299999999999998</v>
      </c>
    </row>
    <row r="50" spans="1:2" x14ac:dyDescent="0.35">
      <c r="A50" s="13">
        <v>44470</v>
      </c>
      <c r="B50" s="16">
        <v>2.0299999999999998</v>
      </c>
    </row>
    <row r="51" spans="1:2" x14ac:dyDescent="0.35">
      <c r="A51" s="13">
        <v>44501</v>
      </c>
      <c r="B51" s="16">
        <v>2.04</v>
      </c>
    </row>
    <row r="52" spans="1:2" x14ac:dyDescent="0.35">
      <c r="A52" s="13">
        <v>44531</v>
      </c>
      <c r="B52" s="16">
        <v>2.0499999999999998</v>
      </c>
    </row>
    <row r="53" spans="1:2" x14ac:dyDescent="0.35">
      <c r="A53" s="13">
        <v>44562</v>
      </c>
      <c r="B53" s="16">
        <v>2.09</v>
      </c>
    </row>
    <row r="54" spans="1:2" x14ac:dyDescent="0.35">
      <c r="A54" s="13">
        <v>44593</v>
      </c>
      <c r="B54" s="16">
        <v>2.11</v>
      </c>
    </row>
    <row r="55" spans="1:2" x14ac:dyDescent="0.35">
      <c r="A55" s="13">
        <v>44621</v>
      </c>
      <c r="B55" s="16">
        <v>2.13</v>
      </c>
    </row>
    <row r="56" spans="1:2" x14ac:dyDescent="0.35">
      <c r="A56" s="13">
        <v>44652</v>
      </c>
      <c r="B56" s="16">
        <v>2.21</v>
      </c>
    </row>
    <row r="57" spans="1:2" x14ac:dyDescent="0.35">
      <c r="A57" s="13">
        <v>44682</v>
      </c>
      <c r="B57" s="16">
        <v>2.11</v>
      </c>
    </row>
    <row r="58" spans="1:2" x14ac:dyDescent="0.35">
      <c r="A58" s="13">
        <v>44713</v>
      </c>
      <c r="B58" s="16">
        <v>1.99</v>
      </c>
    </row>
    <row r="59" spans="1:2" x14ac:dyDescent="0.35">
      <c r="A59" s="13">
        <v>44743</v>
      </c>
      <c r="B59" s="16">
        <v>1.84</v>
      </c>
    </row>
    <row r="60" spans="1:2" x14ac:dyDescent="0.35">
      <c r="A60" s="13">
        <v>44774</v>
      </c>
      <c r="B60" s="16">
        <v>1.73</v>
      </c>
    </row>
    <row r="61" spans="1:2" x14ac:dyDescent="0.35">
      <c r="A61" s="13">
        <v>44805</v>
      </c>
      <c r="B61" s="16">
        <v>1.56</v>
      </c>
    </row>
    <row r="62" spans="1:2" x14ac:dyDescent="0.35">
      <c r="A62" s="13">
        <v>44835</v>
      </c>
      <c r="B62" s="16">
        <v>1.51</v>
      </c>
    </row>
    <row r="63" spans="1:2" x14ac:dyDescent="0.35">
      <c r="A63" s="13">
        <v>44866</v>
      </c>
      <c r="B63" s="16">
        <v>1.56</v>
      </c>
    </row>
    <row r="64" spans="1:2" x14ac:dyDescent="0.35">
      <c r="A64" s="13">
        <v>44896</v>
      </c>
      <c r="B64" s="16">
        <v>1.6</v>
      </c>
    </row>
    <row r="65" spans="1:2" x14ac:dyDescent="0.35">
      <c r="A65" s="13">
        <v>44927</v>
      </c>
      <c r="B65" s="16">
        <v>1.57</v>
      </c>
    </row>
    <row r="66" spans="1:2" x14ac:dyDescent="0.35">
      <c r="A66" s="13">
        <v>44958</v>
      </c>
      <c r="B66" s="16">
        <v>1.58</v>
      </c>
    </row>
    <row r="67" spans="1:2" x14ac:dyDescent="0.35">
      <c r="A67" s="13">
        <v>44986</v>
      </c>
      <c r="B67" s="16">
        <v>1.59</v>
      </c>
    </row>
    <row r="68" spans="1:2" x14ac:dyDescent="0.35">
      <c r="A68" s="13">
        <v>45017</v>
      </c>
      <c r="B68" s="16">
        <v>1.6</v>
      </c>
    </row>
    <row r="69" spans="1:2" x14ac:dyDescent="0.35">
      <c r="A69" s="13">
        <v>45047</v>
      </c>
      <c r="B69" s="16">
        <v>1.55</v>
      </c>
    </row>
    <row r="70" spans="1:2" x14ac:dyDescent="0.35">
      <c r="A70" s="13">
        <v>45078</v>
      </c>
      <c r="B70" s="16">
        <v>1.49</v>
      </c>
    </row>
    <row r="71" spans="1:2" x14ac:dyDescent="0.35">
      <c r="A71" s="13">
        <v>45108</v>
      </c>
      <c r="B71" s="16">
        <v>1.45</v>
      </c>
    </row>
    <row r="72" spans="1:2" x14ac:dyDescent="0.35">
      <c r="A72" s="13">
        <v>45139</v>
      </c>
      <c r="B72" s="16">
        <v>1.42</v>
      </c>
    </row>
    <row r="73" spans="1:2" x14ac:dyDescent="0.35">
      <c r="A73" s="13">
        <v>45170</v>
      </c>
      <c r="B73" s="16">
        <v>1.42</v>
      </c>
    </row>
    <row r="74" spans="1:2" x14ac:dyDescent="0.35">
      <c r="A74" s="13">
        <v>45200</v>
      </c>
      <c r="B74" s="16">
        <v>1.42</v>
      </c>
    </row>
    <row r="75" spans="1:2" x14ac:dyDescent="0.35">
      <c r="A75" s="13">
        <v>45231</v>
      </c>
      <c r="B75" s="16">
        <v>1.43</v>
      </c>
    </row>
    <row r="76" spans="1:2" x14ac:dyDescent="0.35">
      <c r="A76" s="13">
        <v>45261</v>
      </c>
      <c r="B76" s="16">
        <v>1.44</v>
      </c>
    </row>
    <row r="77" spans="1:2" x14ac:dyDescent="0.35">
      <c r="A77" s="13">
        <v>45292</v>
      </c>
      <c r="B77" s="16">
        <v>1.45</v>
      </c>
    </row>
    <row r="78" spans="1:2" x14ac:dyDescent="0.35">
      <c r="A78" s="13">
        <v>45323</v>
      </c>
      <c r="B78" s="16">
        <v>1.51</v>
      </c>
    </row>
    <row r="79" spans="1:2" x14ac:dyDescent="0.35">
      <c r="A79" s="13">
        <v>45352</v>
      </c>
      <c r="B79" s="16">
        <v>1.56</v>
      </c>
    </row>
    <row r="80" spans="1:2" x14ac:dyDescent="0.35">
      <c r="A80" s="13">
        <v>45383</v>
      </c>
      <c r="B80" s="16">
        <v>1.55</v>
      </c>
    </row>
    <row r="81" spans="1:2" x14ac:dyDescent="0.35">
      <c r="A81" s="13">
        <v>45413</v>
      </c>
      <c r="B81" s="16">
        <v>1.54</v>
      </c>
    </row>
    <row r="82" spans="1:2" x14ac:dyDescent="0.35">
      <c r="A82" s="13">
        <v>45444</v>
      </c>
      <c r="B82" s="16">
        <v>1.53</v>
      </c>
    </row>
    <row r="83" spans="1:2" x14ac:dyDescent="0.35">
      <c r="A83" s="13">
        <v>45474</v>
      </c>
      <c r="B83" s="16">
        <v>1.55</v>
      </c>
    </row>
    <row r="84" spans="1:2" x14ac:dyDescent="0.35">
      <c r="A84" s="13">
        <v>45505</v>
      </c>
      <c r="B84" s="16">
        <v>1.58</v>
      </c>
    </row>
    <row r="85" spans="1:2" x14ac:dyDescent="0.35">
      <c r="A85" s="13">
        <v>45536</v>
      </c>
      <c r="B85" s="16">
        <v>1.59</v>
      </c>
    </row>
    <row r="86" spans="1:2" x14ac:dyDescent="0.35">
      <c r="A86" s="13">
        <v>45566</v>
      </c>
      <c r="B86" s="16">
        <v>1.56</v>
      </c>
    </row>
    <row r="87" spans="1:2" x14ac:dyDescent="0.35">
      <c r="A87" s="13">
        <v>45597</v>
      </c>
      <c r="B87" s="16">
        <v>1.5</v>
      </c>
    </row>
    <row r="88" spans="1:2" x14ac:dyDescent="0.35">
      <c r="A88" s="13">
        <v>45627</v>
      </c>
      <c r="B88" s="16">
        <v>1.48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83A0-D00F-4809-BD18-2733FA84C277}">
  <dimension ref="A3:B88"/>
  <sheetViews>
    <sheetView zoomScaleNormal="100" workbookViewId="0">
      <selection activeCell="B4" sqref="B4"/>
    </sheetView>
  </sheetViews>
  <sheetFormatPr defaultRowHeight="14.5" x14ac:dyDescent="0.35"/>
  <cols>
    <col min="2" max="2" width="15.1796875" style="7" customWidth="1"/>
  </cols>
  <sheetData>
    <row r="3" spans="1:2" x14ac:dyDescent="0.35">
      <c r="B3" s="25" t="s">
        <v>152</v>
      </c>
    </row>
    <row r="4" spans="1:2" x14ac:dyDescent="0.35">
      <c r="A4" s="14" t="s">
        <v>55</v>
      </c>
      <c r="B4" s="15" t="s">
        <v>168</v>
      </c>
    </row>
    <row r="5" spans="1:2" x14ac:dyDescent="0.35">
      <c r="A5" s="13">
        <v>43101</v>
      </c>
      <c r="B5" s="16">
        <v>1.5</v>
      </c>
    </row>
    <row r="6" spans="1:2" x14ac:dyDescent="0.35">
      <c r="A6" s="13">
        <v>43132</v>
      </c>
      <c r="B6" s="16">
        <v>1.51</v>
      </c>
    </row>
    <row r="7" spans="1:2" x14ac:dyDescent="0.35">
      <c r="A7" s="13">
        <v>43160</v>
      </c>
      <c r="B7" s="16">
        <v>1.48</v>
      </c>
    </row>
    <row r="8" spans="1:2" x14ac:dyDescent="0.35">
      <c r="A8" s="13">
        <v>43191</v>
      </c>
      <c r="B8" s="16">
        <v>1.47</v>
      </c>
    </row>
    <row r="9" spans="1:2" x14ac:dyDescent="0.35">
      <c r="A9" s="13">
        <v>43221</v>
      </c>
      <c r="B9" s="16">
        <v>1.48</v>
      </c>
    </row>
    <row r="10" spans="1:2" x14ac:dyDescent="0.35">
      <c r="A10" s="13">
        <v>43252</v>
      </c>
      <c r="B10" s="16">
        <v>1.49</v>
      </c>
    </row>
    <row r="11" spans="1:2" x14ac:dyDescent="0.35">
      <c r="A11" s="13">
        <v>43282</v>
      </c>
      <c r="B11" s="16">
        <v>1.49</v>
      </c>
    </row>
    <row r="12" spans="1:2" x14ac:dyDescent="0.35">
      <c r="A12" s="13">
        <v>43313</v>
      </c>
      <c r="B12" s="16">
        <v>1.47</v>
      </c>
    </row>
    <row r="13" spans="1:2" x14ac:dyDescent="0.35">
      <c r="A13" s="13">
        <v>43344</v>
      </c>
      <c r="B13" s="16">
        <v>1.49</v>
      </c>
    </row>
    <row r="14" spans="1:2" x14ac:dyDescent="0.35">
      <c r="A14" s="13">
        <v>43374</v>
      </c>
      <c r="B14" s="16">
        <v>1.46</v>
      </c>
    </row>
    <row r="15" spans="1:2" x14ac:dyDescent="0.35">
      <c r="A15" s="13">
        <v>43405</v>
      </c>
      <c r="B15" s="16">
        <v>1.43</v>
      </c>
    </row>
    <row r="16" spans="1:2" x14ac:dyDescent="0.35">
      <c r="A16" s="13">
        <v>43435</v>
      </c>
      <c r="B16" s="16">
        <v>1.39</v>
      </c>
    </row>
    <row r="17" spans="1:2" x14ac:dyDescent="0.35">
      <c r="A17" s="13">
        <v>43466</v>
      </c>
      <c r="B17" s="16">
        <v>1.38</v>
      </c>
    </row>
    <row r="18" spans="1:2" x14ac:dyDescent="0.35">
      <c r="A18" s="13">
        <v>43497</v>
      </c>
      <c r="B18" s="16">
        <v>1.37</v>
      </c>
    </row>
    <row r="19" spans="1:2" x14ac:dyDescent="0.35">
      <c r="A19" s="13">
        <v>43525</v>
      </c>
      <c r="B19" s="16">
        <v>1.38</v>
      </c>
    </row>
    <row r="20" spans="1:2" x14ac:dyDescent="0.35">
      <c r="A20" s="13">
        <v>43556</v>
      </c>
      <c r="B20" s="16">
        <v>1.39</v>
      </c>
    </row>
    <row r="21" spans="1:2" x14ac:dyDescent="0.35">
      <c r="A21" s="13">
        <v>43586</v>
      </c>
      <c r="B21" s="16">
        <v>1.39</v>
      </c>
    </row>
    <row r="22" spans="1:2" x14ac:dyDescent="0.35">
      <c r="A22" s="13">
        <v>43617</v>
      </c>
      <c r="B22" s="16">
        <v>1.4</v>
      </c>
    </row>
    <row r="23" spans="1:2" x14ac:dyDescent="0.35">
      <c r="A23" s="13">
        <v>43647</v>
      </c>
      <c r="B23" s="16">
        <v>1.36</v>
      </c>
    </row>
    <row r="24" spans="1:2" x14ac:dyDescent="0.35">
      <c r="A24" s="13">
        <v>43678</v>
      </c>
      <c r="B24" s="16">
        <v>1.32</v>
      </c>
    </row>
    <row r="25" spans="1:2" x14ac:dyDescent="0.35">
      <c r="A25" s="13">
        <v>43709</v>
      </c>
      <c r="B25" s="16">
        <v>1.28</v>
      </c>
    </row>
    <row r="26" spans="1:2" x14ac:dyDescent="0.35">
      <c r="A26" s="13">
        <v>43739</v>
      </c>
      <c r="B26" s="16">
        <v>1.3</v>
      </c>
    </row>
    <row r="27" spans="1:2" x14ac:dyDescent="0.35">
      <c r="A27" s="13">
        <v>43770</v>
      </c>
      <c r="B27" s="16">
        <v>1.28</v>
      </c>
    </row>
    <row r="28" spans="1:2" x14ac:dyDescent="0.35">
      <c r="A28" s="13">
        <v>43800</v>
      </c>
      <c r="B28" s="16">
        <v>1.28</v>
      </c>
    </row>
    <row r="29" spans="1:2" x14ac:dyDescent="0.35">
      <c r="A29" s="13">
        <v>43831</v>
      </c>
      <c r="B29" s="16">
        <v>1.28</v>
      </c>
    </row>
    <row r="30" spans="1:2" x14ac:dyDescent="0.35">
      <c r="A30" s="13">
        <v>43862</v>
      </c>
      <c r="B30" s="16">
        <v>1.25</v>
      </c>
    </row>
    <row r="31" spans="1:2" x14ac:dyDescent="0.35">
      <c r="A31" s="13">
        <v>43891</v>
      </c>
      <c r="B31" s="16">
        <v>1.2</v>
      </c>
    </row>
    <row r="32" spans="1:2" x14ac:dyDescent="0.35">
      <c r="A32" s="13">
        <v>43922</v>
      </c>
      <c r="B32" s="16">
        <v>1.1200000000000001</v>
      </c>
    </row>
    <row r="33" spans="1:2" x14ac:dyDescent="0.35">
      <c r="A33" s="13">
        <v>43952</v>
      </c>
      <c r="B33" s="16">
        <v>1.0900000000000001</v>
      </c>
    </row>
    <row r="34" spans="1:2" x14ac:dyDescent="0.35">
      <c r="A34" s="13">
        <v>43983</v>
      </c>
      <c r="B34" s="16">
        <v>1.1599999999999999</v>
      </c>
    </row>
    <row r="35" spans="1:2" x14ac:dyDescent="0.35">
      <c r="A35" s="13">
        <v>44013</v>
      </c>
      <c r="B35" s="16">
        <v>1.22</v>
      </c>
    </row>
    <row r="36" spans="1:2" x14ac:dyDescent="0.35">
      <c r="A36" s="13">
        <v>44044</v>
      </c>
      <c r="B36" s="16">
        <v>1.27</v>
      </c>
    </row>
    <row r="37" spans="1:2" x14ac:dyDescent="0.35">
      <c r="A37" s="13">
        <v>44075</v>
      </c>
      <c r="B37" s="16">
        <v>1.27</v>
      </c>
    </row>
    <row r="38" spans="1:2" x14ac:dyDescent="0.35">
      <c r="A38" s="13">
        <v>44105</v>
      </c>
      <c r="B38" s="16">
        <v>1.26</v>
      </c>
    </row>
    <row r="39" spans="1:2" x14ac:dyDescent="0.35">
      <c r="A39" s="13">
        <v>44136</v>
      </c>
      <c r="B39" s="16">
        <v>1.3</v>
      </c>
    </row>
    <row r="40" spans="1:2" x14ac:dyDescent="0.35">
      <c r="A40" s="13">
        <v>44166</v>
      </c>
      <c r="B40" s="16">
        <v>1.41</v>
      </c>
    </row>
    <row r="41" spans="1:2" x14ac:dyDescent="0.35">
      <c r="A41" s="13">
        <v>44197</v>
      </c>
      <c r="B41" s="16">
        <v>1.58</v>
      </c>
    </row>
    <row r="42" spans="1:2" x14ac:dyDescent="0.35">
      <c r="A42" s="13">
        <v>44228</v>
      </c>
      <c r="B42" s="16">
        <v>1.76</v>
      </c>
    </row>
    <row r="43" spans="1:2" x14ac:dyDescent="0.35">
      <c r="A43" s="13">
        <v>44256</v>
      </c>
      <c r="B43" s="16">
        <v>2.02</v>
      </c>
    </row>
    <row r="44" spans="1:2" x14ac:dyDescent="0.35">
      <c r="A44" s="13">
        <v>44287</v>
      </c>
      <c r="B44" s="16">
        <v>2.2400000000000002</v>
      </c>
    </row>
    <row r="45" spans="1:2" x14ac:dyDescent="0.35">
      <c r="A45" s="13">
        <v>44317</v>
      </c>
      <c r="B45" s="16">
        <v>2.41</v>
      </c>
    </row>
    <row r="46" spans="1:2" x14ac:dyDescent="0.35">
      <c r="A46" s="13">
        <v>44348</v>
      </c>
      <c r="B46" s="16">
        <v>2.42</v>
      </c>
    </row>
    <row r="47" spans="1:2" x14ac:dyDescent="0.35">
      <c r="A47" s="13">
        <v>44378</v>
      </c>
      <c r="B47" s="16">
        <v>2.34</v>
      </c>
    </row>
    <row r="48" spans="1:2" x14ac:dyDescent="0.35">
      <c r="A48" s="13">
        <v>44409</v>
      </c>
      <c r="B48" s="16">
        <v>2.2799999999999998</v>
      </c>
    </row>
    <row r="49" spans="1:2" x14ac:dyDescent="0.35">
      <c r="A49" s="13">
        <v>44440</v>
      </c>
      <c r="B49" s="16">
        <v>2.25</v>
      </c>
    </row>
    <row r="50" spans="1:2" x14ac:dyDescent="0.35">
      <c r="A50" s="13">
        <v>44470</v>
      </c>
      <c r="B50" s="16">
        <v>2.25</v>
      </c>
    </row>
    <row r="51" spans="1:2" x14ac:dyDescent="0.35">
      <c r="A51" s="13">
        <v>44501</v>
      </c>
      <c r="B51" s="16">
        <v>2.25</v>
      </c>
    </row>
    <row r="52" spans="1:2" x14ac:dyDescent="0.35">
      <c r="A52" s="13">
        <v>44531</v>
      </c>
      <c r="B52" s="16">
        <v>2.25</v>
      </c>
    </row>
    <row r="53" spans="1:2" x14ac:dyDescent="0.35">
      <c r="A53" s="13">
        <v>44562</v>
      </c>
      <c r="B53" s="16">
        <v>2.29</v>
      </c>
    </row>
    <row r="54" spans="1:2" x14ac:dyDescent="0.35">
      <c r="A54" s="13">
        <v>44593</v>
      </c>
      <c r="B54" s="16">
        <v>2.29</v>
      </c>
    </row>
    <row r="55" spans="1:2" x14ac:dyDescent="0.35">
      <c r="A55" s="13">
        <v>44621</v>
      </c>
      <c r="B55" s="16">
        <v>2.2330000000000001</v>
      </c>
    </row>
    <row r="56" spans="1:2" x14ac:dyDescent="0.35">
      <c r="A56" s="13">
        <v>44652</v>
      </c>
      <c r="B56" s="16">
        <v>2.4900000000000002</v>
      </c>
    </row>
    <row r="57" spans="1:2" x14ac:dyDescent="0.35">
      <c r="A57" s="13">
        <v>44682</v>
      </c>
      <c r="B57" s="16">
        <v>2.39</v>
      </c>
    </row>
    <row r="58" spans="1:2" x14ac:dyDescent="0.35">
      <c r="A58" s="13">
        <v>44713</v>
      </c>
      <c r="B58" s="16">
        <v>2.27</v>
      </c>
    </row>
    <row r="59" spans="1:2" x14ac:dyDescent="0.35">
      <c r="A59" s="13">
        <v>44743</v>
      </c>
      <c r="B59" s="16">
        <v>2.09</v>
      </c>
    </row>
    <row r="60" spans="1:2" x14ac:dyDescent="0.35">
      <c r="A60" s="13">
        <v>44774</v>
      </c>
      <c r="B60" s="16">
        <v>1.97</v>
      </c>
    </row>
    <row r="61" spans="1:2" x14ac:dyDescent="0.35">
      <c r="A61" s="13">
        <v>44805</v>
      </c>
      <c r="B61" s="16">
        <v>1.81</v>
      </c>
    </row>
    <row r="62" spans="1:2" x14ac:dyDescent="0.35">
      <c r="A62" s="13">
        <v>44835</v>
      </c>
      <c r="B62" s="16">
        <v>1.73</v>
      </c>
    </row>
    <row r="63" spans="1:2" x14ac:dyDescent="0.35">
      <c r="A63" s="13">
        <v>44866</v>
      </c>
      <c r="B63" s="16">
        <v>1.8</v>
      </c>
    </row>
    <row r="64" spans="1:2" x14ac:dyDescent="0.35">
      <c r="A64" s="13">
        <v>44896</v>
      </c>
      <c r="B64" s="16">
        <v>1.82</v>
      </c>
    </row>
    <row r="65" spans="1:2" x14ac:dyDescent="0.35">
      <c r="A65" s="13">
        <v>44927</v>
      </c>
      <c r="B65" s="16">
        <v>1.78</v>
      </c>
    </row>
    <row r="66" spans="1:2" x14ac:dyDescent="0.35">
      <c r="A66" s="13">
        <v>44958</v>
      </c>
      <c r="B66" s="16">
        <v>1.78</v>
      </c>
    </row>
    <row r="67" spans="1:2" x14ac:dyDescent="0.35">
      <c r="A67" s="13">
        <v>44986</v>
      </c>
      <c r="B67" s="16">
        <v>1.78</v>
      </c>
    </row>
    <row r="68" spans="1:2" x14ac:dyDescent="0.35">
      <c r="A68" s="13">
        <v>45017</v>
      </c>
      <c r="B68" s="16">
        <v>1.76</v>
      </c>
    </row>
    <row r="69" spans="1:2" x14ac:dyDescent="0.35">
      <c r="A69" s="13">
        <v>45047</v>
      </c>
      <c r="B69" s="16">
        <v>1.68</v>
      </c>
    </row>
    <row r="70" spans="1:2" x14ac:dyDescent="0.35">
      <c r="A70" s="13">
        <v>45078</v>
      </c>
      <c r="B70" s="16">
        <v>1.58</v>
      </c>
    </row>
    <row r="71" spans="1:2" x14ac:dyDescent="0.35">
      <c r="A71" s="13">
        <v>45108</v>
      </c>
      <c r="B71" s="16">
        <v>1.51</v>
      </c>
    </row>
    <row r="72" spans="1:2" x14ac:dyDescent="0.35">
      <c r="A72" s="13">
        <v>45139</v>
      </c>
      <c r="B72" s="16">
        <v>1.48</v>
      </c>
    </row>
    <row r="73" spans="1:2" x14ac:dyDescent="0.35">
      <c r="A73" s="13">
        <v>45170</v>
      </c>
      <c r="B73" s="16">
        <v>1.51</v>
      </c>
    </row>
    <row r="74" spans="1:2" x14ac:dyDescent="0.35">
      <c r="A74" s="13">
        <v>45200</v>
      </c>
      <c r="B74" s="16">
        <v>1.56</v>
      </c>
    </row>
    <row r="75" spans="1:2" x14ac:dyDescent="0.35">
      <c r="A75" s="13">
        <v>45231</v>
      </c>
      <c r="B75" s="16">
        <v>1.59</v>
      </c>
    </row>
    <row r="76" spans="1:2" x14ac:dyDescent="0.35">
      <c r="A76" s="13">
        <v>45261</v>
      </c>
      <c r="B76" s="16">
        <v>1.59</v>
      </c>
    </row>
    <row r="77" spans="1:2" x14ac:dyDescent="0.35">
      <c r="A77" s="13">
        <v>45292</v>
      </c>
      <c r="B77" s="16">
        <v>1.61</v>
      </c>
    </row>
    <row r="78" spans="1:2" x14ac:dyDescent="0.35">
      <c r="A78" s="13">
        <v>45323</v>
      </c>
      <c r="B78" s="16">
        <v>1.67</v>
      </c>
    </row>
    <row r="79" spans="1:2" x14ac:dyDescent="0.35">
      <c r="A79" s="13">
        <v>45352</v>
      </c>
      <c r="B79" s="16">
        <v>1.75</v>
      </c>
    </row>
    <row r="80" spans="1:2" x14ac:dyDescent="0.35">
      <c r="A80" s="13">
        <v>45383</v>
      </c>
      <c r="B80" s="16">
        <v>1.75</v>
      </c>
    </row>
    <row r="81" spans="1:2" x14ac:dyDescent="0.35">
      <c r="A81" s="13">
        <v>45413</v>
      </c>
      <c r="B81" s="16">
        <v>1.72</v>
      </c>
    </row>
    <row r="82" spans="1:2" x14ac:dyDescent="0.35">
      <c r="A82" s="13">
        <v>45444</v>
      </c>
      <c r="B82" s="16">
        <v>1.71</v>
      </c>
    </row>
    <row r="83" spans="1:2" x14ac:dyDescent="0.35">
      <c r="A83" s="13">
        <v>45474</v>
      </c>
      <c r="B83" s="16">
        <v>1.47</v>
      </c>
    </row>
    <row r="84" spans="1:2" x14ac:dyDescent="0.35">
      <c r="A84" s="13">
        <v>45505</v>
      </c>
      <c r="B84" s="16">
        <v>1.76</v>
      </c>
    </row>
    <row r="85" spans="1:2" x14ac:dyDescent="0.35">
      <c r="A85" s="13">
        <v>45536</v>
      </c>
      <c r="B85" s="16">
        <v>1.8</v>
      </c>
    </row>
    <row r="86" spans="1:2" x14ac:dyDescent="0.35">
      <c r="A86" s="13">
        <v>45566</v>
      </c>
      <c r="B86" s="16">
        <v>1.75</v>
      </c>
    </row>
    <row r="87" spans="1:2" x14ac:dyDescent="0.35">
      <c r="A87" s="13">
        <v>45597</v>
      </c>
      <c r="B87" s="16">
        <v>1.69</v>
      </c>
    </row>
    <row r="88" spans="1:2" x14ac:dyDescent="0.35">
      <c r="A88" s="13">
        <v>45627</v>
      </c>
      <c r="B88" s="16">
        <v>1.67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237F-98C1-4069-8390-137717EDD1CF}">
  <dimension ref="A1:B88"/>
  <sheetViews>
    <sheetView workbookViewId="0">
      <selection activeCell="B4" sqref="B4"/>
    </sheetView>
  </sheetViews>
  <sheetFormatPr defaultRowHeight="14.5" x14ac:dyDescent="0.35"/>
  <cols>
    <col min="2" max="2" width="14.90625" customWidth="1"/>
  </cols>
  <sheetData>
    <row r="1" spans="1:2" x14ac:dyDescent="0.35">
      <c r="A1" s="9"/>
    </row>
    <row r="2" spans="1:2" x14ac:dyDescent="0.35">
      <c r="A2" s="9"/>
    </row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>
        <v>7.0000000000000007E-2</v>
      </c>
    </row>
    <row r="6" spans="1:2" x14ac:dyDescent="0.35">
      <c r="A6" s="13">
        <v>43132</v>
      </c>
      <c r="B6" s="16">
        <v>7.0000000000000007E-2</v>
      </c>
    </row>
    <row r="7" spans="1:2" x14ac:dyDescent="0.35">
      <c r="A7" s="13">
        <v>43160</v>
      </c>
      <c r="B7" s="16">
        <v>7.0000000000000007E-2</v>
      </c>
    </row>
    <row r="8" spans="1:2" x14ac:dyDescent="0.35">
      <c r="A8" s="13">
        <v>43191</v>
      </c>
      <c r="B8" s="16">
        <v>7.0000000000000007E-2</v>
      </c>
    </row>
    <row r="9" spans="1:2" x14ac:dyDescent="0.35">
      <c r="A9" s="13">
        <v>43221</v>
      </c>
      <c r="B9" s="16">
        <v>7.0000000000000007E-2</v>
      </c>
    </row>
    <row r="10" spans="1:2" x14ac:dyDescent="0.35">
      <c r="A10" s="13">
        <v>43252</v>
      </c>
      <c r="B10" s="16">
        <v>7.0000000000000007E-2</v>
      </c>
    </row>
    <row r="11" spans="1:2" x14ac:dyDescent="0.35">
      <c r="A11" s="13">
        <v>43282</v>
      </c>
      <c r="B11" s="16">
        <v>7.0000000000000007E-2</v>
      </c>
    </row>
    <row r="12" spans="1:2" x14ac:dyDescent="0.35">
      <c r="A12" s="13">
        <v>43313</v>
      </c>
      <c r="B12" s="16">
        <v>7.0000000000000007E-2</v>
      </c>
    </row>
    <row r="13" spans="1:2" x14ac:dyDescent="0.35">
      <c r="A13" s="13">
        <v>43344</v>
      </c>
      <c r="B13" s="16">
        <v>7.0000000000000007E-2</v>
      </c>
    </row>
    <row r="14" spans="1:2" x14ac:dyDescent="0.35">
      <c r="A14" s="13">
        <v>43374</v>
      </c>
      <c r="B14" s="16">
        <v>7.0000000000000007E-2</v>
      </c>
    </row>
    <row r="15" spans="1:2" x14ac:dyDescent="0.35">
      <c r="A15" s="13">
        <v>43405</v>
      </c>
      <c r="B15" s="16">
        <v>7.0000000000000007E-2</v>
      </c>
    </row>
    <row r="16" spans="1:2" x14ac:dyDescent="0.35">
      <c r="A16" s="13">
        <v>43435</v>
      </c>
      <c r="B16" s="16">
        <v>0.08</v>
      </c>
    </row>
    <row r="17" spans="1:2" x14ac:dyDescent="0.35">
      <c r="A17" s="13">
        <v>43466</v>
      </c>
      <c r="B17" s="16">
        <v>0.08</v>
      </c>
    </row>
    <row r="18" spans="1:2" x14ac:dyDescent="0.35">
      <c r="A18" s="13">
        <v>43497</v>
      </c>
      <c r="B18" s="16">
        <v>0.08</v>
      </c>
    </row>
    <row r="19" spans="1:2" x14ac:dyDescent="0.35">
      <c r="A19" s="13">
        <v>43525</v>
      </c>
      <c r="B19" s="16">
        <v>0.08</v>
      </c>
    </row>
    <row r="20" spans="1:2" x14ac:dyDescent="0.35">
      <c r="A20" s="13">
        <v>43556</v>
      </c>
      <c r="B20" s="16">
        <v>0.08</v>
      </c>
    </row>
    <row r="21" spans="1:2" x14ac:dyDescent="0.35">
      <c r="A21" s="13">
        <v>43586</v>
      </c>
      <c r="B21" s="16">
        <v>7.0000000000000007E-2</v>
      </c>
    </row>
    <row r="22" spans="1:2" x14ac:dyDescent="0.35">
      <c r="A22" s="13">
        <v>43617</v>
      </c>
      <c r="B22" s="16">
        <v>7.0000000000000007E-2</v>
      </c>
    </row>
    <row r="23" spans="1:2" x14ac:dyDescent="0.35">
      <c r="A23" s="13">
        <v>43647</v>
      </c>
      <c r="B23" s="16">
        <v>7.0000000000000007E-2</v>
      </c>
    </row>
    <row r="24" spans="1:2" x14ac:dyDescent="0.35">
      <c r="A24" s="13">
        <v>43678</v>
      </c>
      <c r="B24" s="16">
        <v>7.0000000000000007E-2</v>
      </c>
    </row>
    <row r="25" spans="1:2" x14ac:dyDescent="0.35">
      <c r="A25" s="13">
        <v>43709</v>
      </c>
      <c r="B25" s="16">
        <v>7.0000000000000007E-2</v>
      </c>
    </row>
    <row r="26" spans="1:2" x14ac:dyDescent="0.35">
      <c r="A26" s="13">
        <v>43739</v>
      </c>
      <c r="B26" s="16">
        <v>7.0000000000000007E-2</v>
      </c>
    </row>
    <row r="27" spans="1:2" x14ac:dyDescent="0.35">
      <c r="A27" s="13">
        <v>43770</v>
      </c>
      <c r="B27" s="16">
        <v>7.0000000000000007E-2</v>
      </c>
    </row>
    <row r="28" spans="1:2" x14ac:dyDescent="0.35">
      <c r="A28" s="13">
        <v>43800</v>
      </c>
      <c r="B28" s="16">
        <v>7.0000000000000007E-2</v>
      </c>
    </row>
    <row r="29" spans="1:2" x14ac:dyDescent="0.35">
      <c r="A29" s="13">
        <v>43831</v>
      </c>
      <c r="B29" s="16">
        <v>0.08</v>
      </c>
    </row>
    <row r="30" spans="1:2" x14ac:dyDescent="0.35">
      <c r="A30" s="13">
        <v>43862</v>
      </c>
      <c r="B30" s="16">
        <v>0.09</v>
      </c>
    </row>
    <row r="31" spans="1:2" x14ac:dyDescent="0.35">
      <c r="A31" s="13">
        <v>43891</v>
      </c>
      <c r="B31" s="16">
        <v>0.08</v>
      </c>
    </row>
    <row r="32" spans="1:2" x14ac:dyDescent="0.35">
      <c r="A32" s="13">
        <v>43922</v>
      </c>
      <c r="B32" s="16">
        <v>0.08</v>
      </c>
    </row>
    <row r="33" spans="1:2" x14ac:dyDescent="0.35">
      <c r="A33" s="13">
        <v>43952</v>
      </c>
      <c r="B33" s="16">
        <v>0.08</v>
      </c>
    </row>
    <row r="34" spans="1:2" x14ac:dyDescent="0.35">
      <c r="A34" s="13">
        <v>43983</v>
      </c>
      <c r="B34" s="16">
        <v>0.09</v>
      </c>
    </row>
    <row r="35" spans="1:2" x14ac:dyDescent="0.35">
      <c r="A35" s="13">
        <v>44013</v>
      </c>
      <c r="B35" s="16">
        <v>0.1</v>
      </c>
    </row>
    <row r="36" spans="1:2" x14ac:dyDescent="0.35">
      <c r="A36" s="13">
        <v>44044</v>
      </c>
      <c r="B36" s="16">
        <v>0.1</v>
      </c>
    </row>
    <row r="37" spans="1:2" x14ac:dyDescent="0.35">
      <c r="A37" s="13">
        <v>44075</v>
      </c>
      <c r="B37" s="16">
        <v>0.1</v>
      </c>
    </row>
    <row r="38" spans="1:2" x14ac:dyDescent="0.35">
      <c r="A38" s="13">
        <v>44105</v>
      </c>
      <c r="B38" s="16">
        <v>0.1</v>
      </c>
    </row>
    <row r="39" spans="1:2" x14ac:dyDescent="0.35">
      <c r="A39" s="13">
        <v>44136</v>
      </c>
      <c r="B39" s="16">
        <v>0.1</v>
      </c>
    </row>
    <row r="40" spans="1:2" x14ac:dyDescent="0.35">
      <c r="A40" s="13">
        <v>44166</v>
      </c>
      <c r="B40" s="16">
        <v>0.1</v>
      </c>
    </row>
    <row r="41" spans="1:2" x14ac:dyDescent="0.35">
      <c r="A41" s="13">
        <v>44197</v>
      </c>
      <c r="B41" s="16">
        <v>0.09</v>
      </c>
    </row>
    <row r="42" spans="1:2" x14ac:dyDescent="0.35">
      <c r="A42" s="13">
        <v>44228</v>
      </c>
      <c r="B42" s="16">
        <v>0.09</v>
      </c>
    </row>
    <row r="43" spans="1:2" x14ac:dyDescent="0.35">
      <c r="A43" s="13">
        <v>44256</v>
      </c>
      <c r="B43" s="16">
        <v>0.09</v>
      </c>
    </row>
    <row r="44" spans="1:2" x14ac:dyDescent="0.35">
      <c r="A44" s="13">
        <v>44287</v>
      </c>
      <c r="B44" s="16">
        <v>0.09</v>
      </c>
    </row>
    <row r="45" spans="1:2" x14ac:dyDescent="0.35">
      <c r="A45" s="13">
        <v>44317</v>
      </c>
      <c r="B45" s="16">
        <v>0.1</v>
      </c>
    </row>
    <row r="46" spans="1:2" x14ac:dyDescent="0.35">
      <c r="A46" s="13">
        <v>44348</v>
      </c>
      <c r="B46" s="16">
        <v>0.1</v>
      </c>
    </row>
    <row r="47" spans="1:2" x14ac:dyDescent="0.35">
      <c r="A47" s="13">
        <v>44378</v>
      </c>
      <c r="B47" s="16">
        <v>0.1</v>
      </c>
    </row>
    <row r="48" spans="1:2" x14ac:dyDescent="0.35">
      <c r="A48" s="13">
        <v>44409</v>
      </c>
      <c r="B48" s="16">
        <v>0.09</v>
      </c>
    </row>
    <row r="49" spans="1:2" x14ac:dyDescent="0.35">
      <c r="A49" s="13">
        <v>44440</v>
      </c>
      <c r="B49" s="16">
        <v>0.1</v>
      </c>
    </row>
    <row r="50" spans="1:2" x14ac:dyDescent="0.35">
      <c r="A50" s="13">
        <v>44470</v>
      </c>
      <c r="B50" s="16">
        <v>0.1</v>
      </c>
    </row>
    <row r="51" spans="1:2" x14ac:dyDescent="0.35">
      <c r="A51" s="13">
        <v>44501</v>
      </c>
      <c r="B51" s="16">
        <v>0.1</v>
      </c>
    </row>
    <row r="52" spans="1:2" x14ac:dyDescent="0.35">
      <c r="A52" s="13">
        <v>44531</v>
      </c>
      <c r="B52" s="16">
        <v>0.1</v>
      </c>
    </row>
    <row r="53" spans="1:2" x14ac:dyDescent="0.35">
      <c r="A53" s="13">
        <v>44562</v>
      </c>
      <c r="B53" s="16">
        <v>0.11</v>
      </c>
    </row>
    <row r="54" spans="1:2" x14ac:dyDescent="0.35">
      <c r="A54" s="13">
        <v>44593</v>
      </c>
      <c r="B54" s="16">
        <v>0.11</v>
      </c>
    </row>
    <row r="55" spans="1:2" x14ac:dyDescent="0.35">
      <c r="A55" s="13">
        <v>44621</v>
      </c>
      <c r="B55" s="16">
        <v>0.11</v>
      </c>
    </row>
    <row r="56" spans="1:2" x14ac:dyDescent="0.35">
      <c r="A56" s="13">
        <v>44652</v>
      </c>
      <c r="B56" s="16">
        <v>0.12</v>
      </c>
    </row>
    <row r="57" spans="1:2" x14ac:dyDescent="0.35">
      <c r="A57" s="13">
        <v>44682</v>
      </c>
      <c r="B57" s="16">
        <v>0.12</v>
      </c>
    </row>
    <row r="58" spans="1:2" x14ac:dyDescent="0.35">
      <c r="A58" s="13">
        <v>44713</v>
      </c>
      <c r="B58" s="16">
        <v>0.12</v>
      </c>
    </row>
    <row r="59" spans="1:2" x14ac:dyDescent="0.35">
      <c r="A59" s="13">
        <v>44743</v>
      </c>
      <c r="B59" s="16">
        <v>0.12</v>
      </c>
    </row>
    <row r="60" spans="1:2" x14ac:dyDescent="0.35">
      <c r="A60" s="13">
        <v>44774</v>
      </c>
      <c r="B60" s="16">
        <v>0.12</v>
      </c>
    </row>
    <row r="61" spans="1:2" x14ac:dyDescent="0.35">
      <c r="A61" s="13">
        <v>44805</v>
      </c>
      <c r="B61" s="16">
        <v>0.12</v>
      </c>
    </row>
    <row r="62" spans="1:2" x14ac:dyDescent="0.35">
      <c r="A62" s="13">
        <v>44835</v>
      </c>
      <c r="B62" s="16">
        <v>0.12</v>
      </c>
    </row>
    <row r="63" spans="1:2" x14ac:dyDescent="0.35">
      <c r="A63" s="13">
        <v>44866</v>
      </c>
      <c r="B63" s="16">
        <v>0.13</v>
      </c>
    </row>
    <row r="64" spans="1:2" x14ac:dyDescent="0.35">
      <c r="A64" s="13">
        <v>44896</v>
      </c>
      <c r="B64" s="16">
        <v>0.13</v>
      </c>
    </row>
    <row r="65" spans="1:2" x14ac:dyDescent="0.35">
      <c r="A65" s="13">
        <v>44927</v>
      </c>
      <c r="B65" s="16">
        <v>0.13</v>
      </c>
    </row>
    <row r="66" spans="1:2" x14ac:dyDescent="0.35">
      <c r="A66" s="13">
        <v>44958</v>
      </c>
      <c r="B66" s="16">
        <v>0.14000000000000001</v>
      </c>
    </row>
    <row r="67" spans="1:2" x14ac:dyDescent="0.35">
      <c r="A67" s="13">
        <v>44986</v>
      </c>
      <c r="B67" s="16">
        <v>0.15</v>
      </c>
    </row>
    <row r="68" spans="1:2" x14ac:dyDescent="0.35">
      <c r="A68" s="13">
        <v>45017</v>
      </c>
      <c r="B68" s="16">
        <v>0.16</v>
      </c>
    </row>
    <row r="69" spans="1:2" x14ac:dyDescent="0.35">
      <c r="A69" s="13">
        <v>45047</v>
      </c>
      <c r="B69" s="16">
        <v>0.16</v>
      </c>
    </row>
    <row r="70" spans="1:2" x14ac:dyDescent="0.35">
      <c r="A70" s="13">
        <v>45078</v>
      </c>
      <c r="B70" s="16">
        <v>0.16</v>
      </c>
    </row>
    <row r="71" spans="1:2" x14ac:dyDescent="0.35">
      <c r="A71" s="13">
        <v>45108</v>
      </c>
      <c r="B71" s="16">
        <v>0.16</v>
      </c>
    </row>
    <row r="72" spans="1:2" x14ac:dyDescent="0.35">
      <c r="A72" s="13">
        <v>45139</v>
      </c>
      <c r="B72" s="16">
        <v>0.16</v>
      </c>
    </row>
    <row r="73" spans="1:2" x14ac:dyDescent="0.35">
      <c r="A73" s="13">
        <v>45170</v>
      </c>
      <c r="B73" s="16">
        <v>0.17</v>
      </c>
    </row>
    <row r="74" spans="1:2" x14ac:dyDescent="0.35">
      <c r="A74" s="13">
        <v>45200</v>
      </c>
      <c r="B74" s="16">
        <v>0.18</v>
      </c>
    </row>
    <row r="75" spans="1:2" x14ac:dyDescent="0.35">
      <c r="A75" s="13">
        <v>45231</v>
      </c>
      <c r="B75" s="16">
        <v>0.17</v>
      </c>
    </row>
    <row r="76" spans="1:2" x14ac:dyDescent="0.35">
      <c r="A76" s="13">
        <v>45261</v>
      </c>
      <c r="B76" s="16">
        <v>0.17</v>
      </c>
    </row>
    <row r="77" spans="1:2" x14ac:dyDescent="0.35">
      <c r="A77" s="13">
        <v>45292</v>
      </c>
      <c r="B77" s="16">
        <v>0.15</v>
      </c>
    </row>
    <row r="78" spans="1:2" x14ac:dyDescent="0.35">
      <c r="A78" s="13">
        <v>45323</v>
      </c>
      <c r="B78" s="16">
        <v>0.14000000000000001</v>
      </c>
    </row>
    <row r="79" spans="1:2" x14ac:dyDescent="0.35">
      <c r="A79" s="13">
        <v>45352</v>
      </c>
      <c r="B79" s="16">
        <v>0.14000000000000001</v>
      </c>
    </row>
    <row r="80" spans="1:2" x14ac:dyDescent="0.35">
      <c r="A80" s="13">
        <v>45383</v>
      </c>
      <c r="B80" s="16">
        <v>0.13</v>
      </c>
    </row>
    <row r="81" spans="1:2" x14ac:dyDescent="0.35">
      <c r="A81" s="13">
        <v>45413</v>
      </c>
      <c r="B81" s="16">
        <v>0.13</v>
      </c>
    </row>
    <row r="82" spans="1:2" x14ac:dyDescent="0.35">
      <c r="A82" s="13">
        <v>45444</v>
      </c>
      <c r="B82" s="16">
        <v>0.13</v>
      </c>
    </row>
    <row r="83" spans="1:2" x14ac:dyDescent="0.35">
      <c r="A83" s="13">
        <v>45474</v>
      </c>
      <c r="B83" s="16">
        <v>0.13</v>
      </c>
    </row>
    <row r="84" spans="1:2" x14ac:dyDescent="0.35">
      <c r="A84" s="13">
        <v>45505</v>
      </c>
      <c r="B84" s="16">
        <v>0.14000000000000001</v>
      </c>
    </row>
    <row r="85" spans="1:2" x14ac:dyDescent="0.35">
      <c r="A85" s="13">
        <v>45536</v>
      </c>
      <c r="B85" s="16">
        <v>0.14000000000000001</v>
      </c>
    </row>
    <row r="86" spans="1:2" x14ac:dyDescent="0.35">
      <c r="A86" s="13">
        <v>45566</v>
      </c>
      <c r="B86" s="16">
        <v>0.14000000000000001</v>
      </c>
    </row>
    <row r="87" spans="1:2" x14ac:dyDescent="0.35">
      <c r="A87" s="13">
        <v>45597</v>
      </c>
      <c r="B87" s="16">
        <v>0.14000000000000001</v>
      </c>
    </row>
    <row r="88" spans="1:2" x14ac:dyDescent="0.35">
      <c r="A88" s="13">
        <v>45627</v>
      </c>
      <c r="B88" s="16">
        <v>0.13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9E97-C088-460C-AD28-C95700261439}">
  <dimension ref="A4:B88"/>
  <sheetViews>
    <sheetView topLeftCell="A55" workbookViewId="0">
      <selection activeCell="B4" sqref="B4"/>
    </sheetView>
  </sheetViews>
  <sheetFormatPr defaultRowHeight="14.5" x14ac:dyDescent="0.35"/>
  <cols>
    <col min="2" max="2" width="14.90625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/>
    </row>
    <row r="8" spans="1:2" x14ac:dyDescent="0.35">
      <c r="A8" s="13">
        <v>43191</v>
      </c>
      <c r="B8" s="16"/>
    </row>
    <row r="9" spans="1:2" x14ac:dyDescent="0.35">
      <c r="A9" s="13">
        <v>43221</v>
      </c>
      <c r="B9" s="16"/>
    </row>
    <row r="10" spans="1:2" x14ac:dyDescent="0.35">
      <c r="A10" s="13">
        <v>43252</v>
      </c>
      <c r="B10" s="16">
        <v>0.26539199999999996</v>
      </c>
    </row>
    <row r="11" spans="1:2" x14ac:dyDescent="0.35">
      <c r="A11" s="13">
        <v>43282</v>
      </c>
      <c r="B11" s="16">
        <v>0.26664599999999999</v>
      </c>
    </row>
    <row r="12" spans="1:2" x14ac:dyDescent="0.35">
      <c r="A12" s="13">
        <v>43313</v>
      </c>
      <c r="B12" s="16">
        <v>0.26721600000000001</v>
      </c>
    </row>
    <row r="13" spans="1:2" x14ac:dyDescent="0.35">
      <c r="A13" s="13">
        <v>43344</v>
      </c>
      <c r="B13" s="16">
        <v>0.26960999999999996</v>
      </c>
    </row>
    <row r="14" spans="1:2" x14ac:dyDescent="0.35">
      <c r="A14" s="13">
        <v>43374</v>
      </c>
      <c r="B14" s="16">
        <v>0.273372</v>
      </c>
    </row>
    <row r="15" spans="1:2" x14ac:dyDescent="0.35">
      <c r="A15" s="13">
        <v>43405</v>
      </c>
      <c r="B15" s="16">
        <v>0.27713399999999994</v>
      </c>
    </row>
    <row r="16" spans="1:2" x14ac:dyDescent="0.35">
      <c r="A16" s="13">
        <v>43435</v>
      </c>
      <c r="B16" s="16">
        <v>0.279528</v>
      </c>
    </row>
    <row r="17" spans="1:2" x14ac:dyDescent="0.35">
      <c r="A17" s="13">
        <v>43466</v>
      </c>
      <c r="B17" s="16">
        <v>0.28386</v>
      </c>
    </row>
    <row r="18" spans="1:2" x14ac:dyDescent="0.35">
      <c r="A18" s="13">
        <v>43497</v>
      </c>
      <c r="B18" s="16">
        <v>0.28306499999999996</v>
      </c>
    </row>
    <row r="19" spans="1:2" x14ac:dyDescent="0.35">
      <c r="A19" s="13">
        <v>43525</v>
      </c>
      <c r="B19" s="16">
        <v>0.28306499999999996</v>
      </c>
    </row>
    <row r="20" spans="1:2" x14ac:dyDescent="0.35">
      <c r="A20" s="13">
        <v>43556</v>
      </c>
      <c r="B20" s="16">
        <v>0.25995200000000002</v>
      </c>
    </row>
    <row r="21" spans="1:2" x14ac:dyDescent="0.35">
      <c r="A21" s="13">
        <v>43586</v>
      </c>
      <c r="B21" s="16">
        <v>0.25659200000000004</v>
      </c>
    </row>
    <row r="22" spans="1:2" x14ac:dyDescent="0.35">
      <c r="A22" s="13">
        <v>43617</v>
      </c>
      <c r="B22" s="16">
        <v>0.25944799999999996</v>
      </c>
    </row>
    <row r="23" spans="1:2" x14ac:dyDescent="0.35">
      <c r="A23" s="13">
        <v>43647</v>
      </c>
      <c r="B23" s="16">
        <v>0.258496</v>
      </c>
    </row>
    <row r="24" spans="1:2" x14ac:dyDescent="0.35">
      <c r="A24" s="13">
        <v>43678</v>
      </c>
      <c r="B24" s="16">
        <v>0.256299</v>
      </c>
    </row>
    <row r="25" spans="1:2" x14ac:dyDescent="0.35">
      <c r="A25" s="13">
        <v>43709</v>
      </c>
      <c r="B25" s="16">
        <v>0.25707000000000002</v>
      </c>
    </row>
    <row r="26" spans="1:2" x14ac:dyDescent="0.35">
      <c r="A26" s="13">
        <v>43739</v>
      </c>
      <c r="B26" s="16">
        <v>0.26329200000000003</v>
      </c>
    </row>
    <row r="27" spans="1:2" x14ac:dyDescent="0.35">
      <c r="A27" s="13">
        <v>43770</v>
      </c>
      <c r="B27" s="16">
        <v>0.26477000000000001</v>
      </c>
    </row>
    <row r="28" spans="1:2" x14ac:dyDescent="0.35">
      <c r="A28" s="13">
        <v>43800</v>
      </c>
      <c r="B28" s="16">
        <v>0.26961900000000005</v>
      </c>
    </row>
    <row r="29" spans="1:2" x14ac:dyDescent="0.35">
      <c r="A29" s="13">
        <v>43831</v>
      </c>
      <c r="B29" s="16">
        <v>0.27206100000000005</v>
      </c>
    </row>
    <row r="30" spans="1:2" x14ac:dyDescent="0.35">
      <c r="A30" s="13">
        <v>43862</v>
      </c>
      <c r="B30" s="16">
        <v>0.27005000000000001</v>
      </c>
    </row>
    <row r="31" spans="1:2" x14ac:dyDescent="0.35">
      <c r="A31" s="13">
        <v>43891</v>
      </c>
      <c r="B31" s="16">
        <v>0.26829000000000003</v>
      </c>
    </row>
    <row r="32" spans="1:2" x14ac:dyDescent="0.35">
      <c r="A32" s="13">
        <v>43922</v>
      </c>
      <c r="B32" s="16">
        <v>0.25059100000000001</v>
      </c>
    </row>
    <row r="33" spans="1:2" x14ac:dyDescent="0.35">
      <c r="A33" s="13">
        <v>43952</v>
      </c>
      <c r="B33" s="16">
        <v>0.24634000000000003</v>
      </c>
    </row>
    <row r="34" spans="1:2" x14ac:dyDescent="0.35">
      <c r="A34" s="13">
        <v>43983</v>
      </c>
      <c r="B34" s="16">
        <v>0.25345600000000001</v>
      </c>
    </row>
    <row r="35" spans="1:2" x14ac:dyDescent="0.35">
      <c r="A35" s="13">
        <v>44013</v>
      </c>
      <c r="B35" s="16">
        <v>0.25752599999999998</v>
      </c>
    </row>
    <row r="36" spans="1:2" x14ac:dyDescent="0.35">
      <c r="A36" s="13">
        <v>44044</v>
      </c>
      <c r="B36" s="16">
        <v>0.26679799999999998</v>
      </c>
    </row>
    <row r="37" spans="1:2" x14ac:dyDescent="0.35">
      <c r="A37" s="13">
        <v>44075</v>
      </c>
      <c r="B37" s="16">
        <v>0.26785999999999999</v>
      </c>
    </row>
    <row r="38" spans="1:2" x14ac:dyDescent="0.35">
      <c r="A38" s="13">
        <v>44105</v>
      </c>
      <c r="B38" s="16">
        <v>0.26892199999999999</v>
      </c>
    </row>
    <row r="39" spans="1:2" x14ac:dyDescent="0.35">
      <c r="A39" s="13">
        <v>44136</v>
      </c>
      <c r="B39" s="16">
        <v>0.270928</v>
      </c>
    </row>
    <row r="40" spans="1:2" x14ac:dyDescent="0.35">
      <c r="A40" s="13">
        <v>44166</v>
      </c>
      <c r="B40" s="16">
        <v>0.28157599999999999</v>
      </c>
    </row>
    <row r="41" spans="1:2" x14ac:dyDescent="0.35">
      <c r="A41" s="13">
        <v>44197</v>
      </c>
      <c r="B41" s="16">
        <v>0.282308</v>
      </c>
    </row>
    <row r="42" spans="1:2" x14ac:dyDescent="0.35">
      <c r="A42" s="13">
        <v>44228</v>
      </c>
      <c r="B42" s="16">
        <v>0.28144600000000003</v>
      </c>
    </row>
    <row r="43" spans="1:2" x14ac:dyDescent="0.35">
      <c r="A43" s="13">
        <v>44256</v>
      </c>
      <c r="B43" s="16">
        <v>0.27607999999999999</v>
      </c>
    </row>
    <row r="44" spans="1:2" x14ac:dyDescent="0.35">
      <c r="A44" s="13">
        <v>44287</v>
      </c>
      <c r="B44" s="16">
        <v>0.26375999999999999</v>
      </c>
    </row>
    <row r="45" spans="1:2" x14ac:dyDescent="0.35">
      <c r="A45" s="13">
        <v>44317</v>
      </c>
      <c r="B45" s="16">
        <v>0.264627</v>
      </c>
    </row>
    <row r="46" spans="1:2" x14ac:dyDescent="0.35">
      <c r="A46" s="13">
        <v>44348</v>
      </c>
      <c r="B46" s="16">
        <v>0.26544000000000001</v>
      </c>
    </row>
    <row r="47" spans="1:2" x14ac:dyDescent="0.35">
      <c r="A47" s="13">
        <v>44378</v>
      </c>
      <c r="B47" s="16">
        <v>0.26266800000000001</v>
      </c>
    </row>
    <row r="48" spans="1:2" x14ac:dyDescent="0.35">
      <c r="A48" s="13">
        <v>44409</v>
      </c>
      <c r="B48" s="16">
        <v>0.26514599999999999</v>
      </c>
    </row>
    <row r="49" spans="1:2" x14ac:dyDescent="0.35">
      <c r="A49" s="13">
        <v>44440</v>
      </c>
      <c r="B49" s="16">
        <v>0.27080999999999994</v>
      </c>
    </row>
    <row r="50" spans="1:2" x14ac:dyDescent="0.35">
      <c r="A50" s="13">
        <v>44470</v>
      </c>
      <c r="B50" s="16">
        <v>0.27433999999999997</v>
      </c>
    </row>
    <row r="51" spans="1:2" x14ac:dyDescent="0.35">
      <c r="A51" s="13">
        <v>44501</v>
      </c>
      <c r="B51" s="16">
        <v>0.28386</v>
      </c>
    </row>
    <row r="52" spans="1:2" x14ac:dyDescent="0.35">
      <c r="A52" s="13">
        <v>44531</v>
      </c>
      <c r="B52" s="16">
        <v>0.29933699999999996</v>
      </c>
    </row>
    <row r="53" spans="1:2" x14ac:dyDescent="0.35">
      <c r="A53" s="13">
        <v>44562</v>
      </c>
      <c r="B53" s="16">
        <v>0.339339</v>
      </c>
    </row>
    <row r="54" spans="1:2" x14ac:dyDescent="0.35">
      <c r="A54" s="13">
        <v>44593</v>
      </c>
      <c r="B54" s="16">
        <v>0.34916999999999998</v>
      </c>
    </row>
    <row r="55" spans="1:2" x14ac:dyDescent="0.35">
      <c r="A55" s="13">
        <v>44621</v>
      </c>
      <c r="B55" s="16">
        <v>0.33660000000000001</v>
      </c>
    </row>
    <row r="56" spans="1:2" x14ac:dyDescent="0.35">
      <c r="A56" s="13">
        <v>44652</v>
      </c>
      <c r="B56" s="16">
        <v>0.34873199999999999</v>
      </c>
    </row>
    <row r="57" spans="1:2" x14ac:dyDescent="0.35">
      <c r="A57" s="13">
        <v>44682</v>
      </c>
      <c r="B57" s="16">
        <v>0.35605400000000004</v>
      </c>
    </row>
    <row r="58" spans="1:2" x14ac:dyDescent="0.35">
      <c r="A58" s="13">
        <v>44713</v>
      </c>
      <c r="B58" s="16">
        <v>0.38923199999999997</v>
      </c>
    </row>
    <row r="59" spans="1:2" x14ac:dyDescent="0.35">
      <c r="A59" s="13">
        <v>44743</v>
      </c>
      <c r="B59" s="16">
        <v>0.44910600000000006</v>
      </c>
    </row>
    <row r="60" spans="1:2" x14ac:dyDescent="0.35">
      <c r="A60" s="13">
        <v>44774</v>
      </c>
      <c r="B60" s="16">
        <v>0.54317800000000005</v>
      </c>
    </row>
    <row r="61" spans="1:2" x14ac:dyDescent="0.35">
      <c r="A61" s="13">
        <v>44805</v>
      </c>
      <c r="B61" s="16">
        <v>0.56340899999999994</v>
      </c>
    </row>
    <row r="62" spans="1:2" x14ac:dyDescent="0.35">
      <c r="A62" s="13">
        <v>44835</v>
      </c>
      <c r="B62" s="16">
        <v>0.62092799999999992</v>
      </c>
    </row>
    <row r="63" spans="1:2" x14ac:dyDescent="0.35">
      <c r="A63" s="13">
        <v>44866</v>
      </c>
      <c r="B63" s="16">
        <v>0.61771200000000004</v>
      </c>
    </row>
    <row r="64" spans="1:2" x14ac:dyDescent="0.35">
      <c r="A64" s="13">
        <v>44896</v>
      </c>
      <c r="B64" s="16">
        <v>0.57695800000000008</v>
      </c>
    </row>
    <row r="65" spans="1:2" x14ac:dyDescent="0.35">
      <c r="A65" s="13">
        <v>44927</v>
      </c>
      <c r="B65" s="16">
        <v>0.55598399999999992</v>
      </c>
    </row>
    <row r="66" spans="1:2" x14ac:dyDescent="0.35">
      <c r="A66" s="13">
        <v>44958</v>
      </c>
      <c r="B66" s="16">
        <v>0.46673399999999998</v>
      </c>
    </row>
    <row r="67" spans="1:2" x14ac:dyDescent="0.35">
      <c r="A67" s="13">
        <v>44986</v>
      </c>
      <c r="B67" s="16">
        <v>0.39151300000000011</v>
      </c>
    </row>
    <row r="68" spans="1:2" x14ac:dyDescent="0.35">
      <c r="A68" s="13">
        <v>45017</v>
      </c>
      <c r="B68" s="16">
        <v>0.36069000000000001</v>
      </c>
    </row>
    <row r="69" spans="1:2" x14ac:dyDescent="0.35">
      <c r="A69" s="13">
        <v>45047</v>
      </c>
      <c r="B69" s="16">
        <v>0.366894</v>
      </c>
    </row>
    <row r="70" spans="1:2" x14ac:dyDescent="0.35">
      <c r="A70" s="13">
        <v>45078</v>
      </c>
      <c r="B70" s="16">
        <v>0.41910000000000003</v>
      </c>
    </row>
    <row r="71" spans="1:2" x14ac:dyDescent="0.35">
      <c r="A71" s="13">
        <v>45108</v>
      </c>
      <c r="B71" s="16">
        <v>0.44068700000000005</v>
      </c>
    </row>
    <row r="72" spans="1:2" x14ac:dyDescent="0.35">
      <c r="A72" s="13">
        <v>45139</v>
      </c>
      <c r="B72" s="16">
        <v>0.44526500000000008</v>
      </c>
    </row>
    <row r="73" spans="1:2" x14ac:dyDescent="0.35">
      <c r="A73" s="13">
        <v>45170</v>
      </c>
      <c r="B73" s="16">
        <v>0.43195899999999998</v>
      </c>
    </row>
    <row r="74" spans="1:2" x14ac:dyDescent="0.35">
      <c r="A74" s="13">
        <v>45200</v>
      </c>
      <c r="B74" s="16">
        <v>0.41170400000000007</v>
      </c>
    </row>
    <row r="75" spans="1:2" x14ac:dyDescent="0.35">
      <c r="A75" s="13">
        <v>45231</v>
      </c>
      <c r="B75" s="16">
        <v>0.40748400000000001</v>
      </c>
    </row>
    <row r="76" spans="1:2" x14ac:dyDescent="0.35">
      <c r="A76" s="13">
        <v>45261</v>
      </c>
      <c r="B76" s="16">
        <v>0.38814900000000002</v>
      </c>
    </row>
    <row r="77" spans="1:2" x14ac:dyDescent="0.35">
      <c r="A77" s="13">
        <v>45292</v>
      </c>
      <c r="B77" s="16">
        <v>0.38215400000000005</v>
      </c>
    </row>
    <row r="78" spans="1:2" x14ac:dyDescent="0.35">
      <c r="A78" s="13">
        <v>45323</v>
      </c>
      <c r="B78" s="16">
        <v>0.35693999999999998</v>
      </c>
    </row>
    <row r="79" spans="1:2" x14ac:dyDescent="0.35">
      <c r="A79" s="13">
        <v>45352</v>
      </c>
      <c r="B79" s="16">
        <v>0.34095200000000003</v>
      </c>
    </row>
    <row r="80" spans="1:2" x14ac:dyDescent="0.35">
      <c r="A80" s="13">
        <v>45383</v>
      </c>
      <c r="B80" s="16">
        <v>0.31083499999999997</v>
      </c>
    </row>
    <row r="81" spans="1:2" x14ac:dyDescent="0.35">
      <c r="A81" s="13">
        <v>45413</v>
      </c>
      <c r="B81" s="16">
        <v>0.30941999999999997</v>
      </c>
    </row>
    <row r="82" spans="1:2" x14ac:dyDescent="0.35">
      <c r="A82" s="13">
        <v>45444</v>
      </c>
      <c r="B82" s="16">
        <v>0.30527100000000001</v>
      </c>
    </row>
    <row r="83" spans="1:2" x14ac:dyDescent="0.35">
      <c r="A83" s="13">
        <v>45474</v>
      </c>
      <c r="B83" s="16">
        <v>0.30812400000000001</v>
      </c>
    </row>
    <row r="84" spans="1:2" x14ac:dyDescent="0.35">
      <c r="A84" s="13">
        <v>45505</v>
      </c>
      <c r="B84" s="16">
        <v>0.31548000000000004</v>
      </c>
    </row>
    <row r="85" spans="1:2" x14ac:dyDescent="0.35">
      <c r="A85" s="13">
        <v>45536</v>
      </c>
      <c r="B85" s="16">
        <v>0.31857000000000002</v>
      </c>
    </row>
    <row r="86" spans="1:2" x14ac:dyDescent="0.35">
      <c r="A86" s="13">
        <v>45566</v>
      </c>
      <c r="B86" s="16">
        <v>0.315446</v>
      </c>
    </row>
    <row r="87" spans="1:2" x14ac:dyDescent="0.35">
      <c r="A87" s="13">
        <v>45597</v>
      </c>
      <c r="B87" s="16">
        <v>0.309944</v>
      </c>
    </row>
    <row r="88" spans="1:2" x14ac:dyDescent="0.35">
      <c r="A88" s="13">
        <v>45627</v>
      </c>
      <c r="B88" s="16">
        <v>0.30933000000000005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F805-7E28-4873-B829-9F9180A2ECB2}">
  <dimension ref="A4:B88"/>
  <sheetViews>
    <sheetView topLeftCell="A67" zoomScaleNormal="100" workbookViewId="0">
      <selection activeCell="B4" sqref="B4"/>
    </sheetView>
  </sheetViews>
  <sheetFormatPr defaultRowHeight="14.5" x14ac:dyDescent="0.35"/>
  <cols>
    <col min="2" max="2" width="16.1796875" bestFit="1" customWidth="1"/>
  </cols>
  <sheetData>
    <row r="4" spans="1:2" x14ac:dyDescent="0.35">
      <c r="A4" s="14" t="s">
        <v>55</v>
      </c>
      <c r="B4" s="15" t="s">
        <v>194</v>
      </c>
    </row>
    <row r="5" spans="1:2" x14ac:dyDescent="0.35">
      <c r="A5" s="13">
        <v>43101</v>
      </c>
      <c r="B5" s="16"/>
    </row>
    <row r="6" spans="1:2" x14ac:dyDescent="0.35">
      <c r="A6" s="13">
        <v>43132</v>
      </c>
      <c r="B6" s="16"/>
    </row>
    <row r="7" spans="1:2" x14ac:dyDescent="0.35">
      <c r="A7" s="13">
        <v>43160</v>
      </c>
      <c r="B7" s="16"/>
    </row>
    <row r="8" spans="1:2" x14ac:dyDescent="0.35">
      <c r="A8" s="13">
        <v>43191</v>
      </c>
      <c r="B8" s="16"/>
    </row>
    <row r="9" spans="1:2" x14ac:dyDescent="0.35">
      <c r="A9" s="13">
        <v>43221</v>
      </c>
      <c r="B9" s="16"/>
    </row>
    <row r="10" spans="1:2" x14ac:dyDescent="0.35">
      <c r="A10" s="13">
        <v>43252</v>
      </c>
      <c r="B10" s="16"/>
    </row>
    <row r="11" spans="1:2" x14ac:dyDescent="0.35">
      <c r="A11" s="13">
        <v>43282</v>
      </c>
      <c r="B11" s="16"/>
    </row>
    <row r="12" spans="1:2" x14ac:dyDescent="0.35">
      <c r="A12" s="13">
        <v>43313</v>
      </c>
      <c r="B12" s="16"/>
    </row>
    <row r="13" spans="1:2" x14ac:dyDescent="0.35">
      <c r="A13" s="13">
        <v>43344</v>
      </c>
      <c r="B13" s="16"/>
    </row>
    <row r="14" spans="1:2" x14ac:dyDescent="0.35">
      <c r="A14" s="13">
        <v>43374</v>
      </c>
      <c r="B14" s="16"/>
    </row>
    <row r="15" spans="1:2" x14ac:dyDescent="0.35">
      <c r="A15" s="13">
        <v>43405</v>
      </c>
      <c r="B15" s="16"/>
    </row>
    <row r="16" spans="1:2" x14ac:dyDescent="0.35">
      <c r="A16" s="13">
        <v>43435</v>
      </c>
      <c r="B16" s="16"/>
    </row>
    <row r="17" spans="1:2" x14ac:dyDescent="0.35">
      <c r="A17" s="13">
        <v>43466</v>
      </c>
      <c r="B17" s="16">
        <v>1.9514300731692327</v>
      </c>
    </row>
    <row r="18" spans="1:2" x14ac:dyDescent="0.35">
      <c r="A18" s="13">
        <v>43497</v>
      </c>
      <c r="B18" s="16">
        <v>1.6197074991382807</v>
      </c>
    </row>
    <row r="19" spans="1:2" x14ac:dyDescent="0.35">
      <c r="A19" s="13">
        <v>43525</v>
      </c>
      <c r="B19" s="16">
        <v>1.4062735949168153</v>
      </c>
    </row>
    <row r="20" spans="1:2" x14ac:dyDescent="0.35">
      <c r="A20" s="13">
        <v>43556</v>
      </c>
      <c r="B20" s="16">
        <v>1.3394147815462358</v>
      </c>
    </row>
    <row r="21" spans="1:2" x14ac:dyDescent="0.35">
      <c r="A21" s="13">
        <v>43586</v>
      </c>
      <c r="B21" s="16">
        <v>1.1902681978734044</v>
      </c>
    </row>
    <row r="22" spans="1:2" x14ac:dyDescent="0.35">
      <c r="A22" s="13">
        <v>43617</v>
      </c>
      <c r="B22" s="16">
        <v>0.99740623622750202</v>
      </c>
    </row>
    <row r="23" spans="1:2" x14ac:dyDescent="0.35">
      <c r="A23" s="13">
        <v>43647</v>
      </c>
      <c r="B23" s="16">
        <v>1.0051207146933383</v>
      </c>
    </row>
    <row r="24" spans="1:2" x14ac:dyDescent="0.35">
      <c r="A24" s="13">
        <v>43678</v>
      </c>
      <c r="B24" s="16">
        <v>1.0205496716250104</v>
      </c>
    </row>
    <row r="25" spans="1:2" x14ac:dyDescent="0.35">
      <c r="A25" s="13">
        <v>43709</v>
      </c>
      <c r="B25" s="16">
        <v>1.1568387911881148</v>
      </c>
    </row>
    <row r="26" spans="1:2" x14ac:dyDescent="0.35">
      <c r="A26" s="13">
        <v>43739</v>
      </c>
      <c r="B26" s="16">
        <v>1.3754156810534706</v>
      </c>
    </row>
    <row r="27" spans="1:2" x14ac:dyDescent="0.35">
      <c r="A27" s="13">
        <v>43770</v>
      </c>
      <c r="B27" s="16">
        <v>1.398559116450979</v>
      </c>
    </row>
    <row r="28" spans="1:2" x14ac:dyDescent="0.35">
      <c r="A28" s="13">
        <v>43800</v>
      </c>
      <c r="B28" s="16">
        <v>1.2622699968878746</v>
      </c>
    </row>
    <row r="29" spans="1:2" x14ac:dyDescent="0.35">
      <c r="A29" s="13">
        <v>43831</v>
      </c>
      <c r="B29" s="16">
        <v>1.0076922075152837</v>
      </c>
    </row>
    <row r="30" spans="1:2" x14ac:dyDescent="0.35">
      <c r="A30" s="13">
        <v>43862</v>
      </c>
      <c r="B30" s="16">
        <v>0.82254472433521741</v>
      </c>
    </row>
    <row r="31" spans="1:2" x14ac:dyDescent="0.35">
      <c r="A31" s="13">
        <v>43891</v>
      </c>
      <c r="B31" s="16">
        <v>0.77368636071825558</v>
      </c>
    </row>
    <row r="32" spans="1:2" x14ac:dyDescent="0.35">
      <c r="A32" s="13">
        <v>43922</v>
      </c>
      <c r="B32" s="16">
        <v>0.61939679140153348</v>
      </c>
    </row>
    <row r="33" spans="1:2" x14ac:dyDescent="0.35">
      <c r="A33" s="13">
        <v>43952</v>
      </c>
      <c r="B33" s="16">
        <v>0.48053617901648366</v>
      </c>
    </row>
    <row r="34" spans="1:2" x14ac:dyDescent="0.35">
      <c r="A34" s="13">
        <v>43983</v>
      </c>
      <c r="B34" s="16">
        <v>0.52425155698955495</v>
      </c>
    </row>
    <row r="35" spans="1:2" x14ac:dyDescent="0.35">
      <c r="A35" s="13">
        <v>44013</v>
      </c>
      <c r="B35" s="16">
        <v>0.53710902109928182</v>
      </c>
    </row>
    <row r="36" spans="1:2" x14ac:dyDescent="0.35">
      <c r="A36" s="13">
        <v>44044</v>
      </c>
      <c r="B36" s="16">
        <v>0.80968726022549031</v>
      </c>
    </row>
    <row r="37" spans="1:2" x14ac:dyDescent="0.35">
      <c r="A37" s="13">
        <v>44075</v>
      </c>
      <c r="B37" s="16">
        <v>1.0899799778175352</v>
      </c>
    </row>
    <row r="38" spans="1:2" x14ac:dyDescent="0.35">
      <c r="A38" s="13">
        <v>44105</v>
      </c>
      <c r="B38" s="16">
        <v>1.3317003030803991</v>
      </c>
    </row>
    <row r="39" spans="1:2" x14ac:dyDescent="0.35">
      <c r="A39" s="13">
        <v>44136</v>
      </c>
      <c r="B39" s="16">
        <v>1.3188428389706728</v>
      </c>
    </row>
    <row r="40" spans="1:2" x14ac:dyDescent="0.35">
      <c r="A40" s="13">
        <v>44166</v>
      </c>
      <c r="B40" s="16">
        <v>1.5811351068091004</v>
      </c>
    </row>
    <row r="41" spans="1:2" x14ac:dyDescent="0.35">
      <c r="A41" s="13">
        <v>44197</v>
      </c>
      <c r="B41" s="16">
        <v>1.9727687544421413</v>
      </c>
    </row>
    <row r="42" spans="1:2" x14ac:dyDescent="0.35">
      <c r="A42" s="13">
        <v>44228</v>
      </c>
      <c r="B42" s="16">
        <v>1.6798863326694615</v>
      </c>
    </row>
    <row r="43" spans="1:2" x14ac:dyDescent="0.35">
      <c r="A43" s="13">
        <v>44256</v>
      </c>
      <c r="B43" s="16">
        <v>1.6699365996950259</v>
      </c>
    </row>
    <row r="44" spans="1:2" x14ac:dyDescent="0.35">
      <c r="A44" s="13">
        <v>44287</v>
      </c>
      <c r="B44" s="16">
        <v>1.9407002118052079</v>
      </c>
    </row>
    <row r="45" spans="1:2" x14ac:dyDescent="0.35">
      <c r="A45" s="13">
        <v>44317</v>
      </c>
      <c r="B45" s="16">
        <v>2.4004611210948323</v>
      </c>
    </row>
    <row r="46" spans="1:2" x14ac:dyDescent="0.35">
      <c r="A46" s="13">
        <v>44348</v>
      </c>
      <c r="B46" s="16">
        <v>2.7963652102198213</v>
      </c>
    </row>
    <row r="47" spans="1:2" x14ac:dyDescent="0.35">
      <c r="A47" s="13">
        <v>44378</v>
      </c>
      <c r="B47" s="16">
        <v>3.3737277840297186</v>
      </c>
    </row>
    <row r="48" spans="1:2" x14ac:dyDescent="0.35">
      <c r="A48" s="13">
        <v>44409</v>
      </c>
      <c r="B48" s="16">
        <v>4.1323501675268224</v>
      </c>
    </row>
    <row r="49" spans="1:2" x14ac:dyDescent="0.35">
      <c r="A49" s="13">
        <v>44440</v>
      </c>
      <c r="B49" s="16">
        <v>6.1322460605958904</v>
      </c>
    </row>
    <row r="50" spans="1:2" x14ac:dyDescent="0.35">
      <c r="A50" s="13">
        <v>44470</v>
      </c>
      <c r="B50" s="16">
        <v>8.2902310857526214</v>
      </c>
    </row>
    <row r="51" spans="1:2" x14ac:dyDescent="0.35">
      <c r="A51" s="13">
        <v>44501</v>
      </c>
      <c r="B51" s="16">
        <v>7.4441906598488927</v>
      </c>
    </row>
    <row r="52" spans="1:2" x14ac:dyDescent="0.35">
      <c r="A52" s="13">
        <v>44531</v>
      </c>
      <c r="B52" s="16">
        <v>10.211754161276332</v>
      </c>
    </row>
    <row r="53" spans="1:2" x14ac:dyDescent="0.35">
      <c r="A53" s="13">
        <v>44562</v>
      </c>
      <c r="B53" s="16">
        <v>7.611114086559752</v>
      </c>
    </row>
    <row r="54" spans="1:2" x14ac:dyDescent="0.35">
      <c r="A54" s="13">
        <v>44593</v>
      </c>
      <c r="B54" s="16">
        <v>7.3081591240498858</v>
      </c>
    </row>
    <row r="55" spans="1:2" x14ac:dyDescent="0.35">
      <c r="A55" s="13">
        <v>44621</v>
      </c>
      <c r="B55" s="16">
        <v>11.36256162305963</v>
      </c>
    </row>
    <row r="56" spans="1:2" x14ac:dyDescent="0.35">
      <c r="A56" s="13">
        <v>44652</v>
      </c>
      <c r="B56" s="16">
        <v>8.6196057944674163</v>
      </c>
    </row>
    <row r="57" spans="1:2" x14ac:dyDescent="0.35">
      <c r="A57" s="13">
        <v>44682</v>
      </c>
      <c r="B57" s="16">
        <v>7.8104339065120003</v>
      </c>
    </row>
    <row r="58" spans="1:2" x14ac:dyDescent="0.35">
      <c r="A58" s="13">
        <v>44713</v>
      </c>
      <c r="B58" s="16">
        <v>8.9882177808047121</v>
      </c>
    </row>
    <row r="59" spans="1:2" x14ac:dyDescent="0.35">
      <c r="A59" s="13">
        <v>44743</v>
      </c>
      <c r="B59" s="16">
        <v>13.703092294031176</v>
      </c>
    </row>
    <row r="60" spans="1:2" x14ac:dyDescent="0.35">
      <c r="A60" s="13">
        <v>44774</v>
      </c>
      <c r="B60" s="16">
        <v>18.737567538006797</v>
      </c>
    </row>
    <row r="61" spans="1:2" x14ac:dyDescent="0.35">
      <c r="A61" s="13">
        <v>44805</v>
      </c>
      <c r="B61" s="16">
        <v>15.740537370629664</v>
      </c>
    </row>
    <row r="62" spans="1:2" x14ac:dyDescent="0.35">
      <c r="A62" s="13">
        <v>44835</v>
      </c>
      <c r="B62" s="16">
        <v>10.279179747968195</v>
      </c>
    </row>
    <row r="63" spans="1:2" x14ac:dyDescent="0.35">
      <c r="A63" s="13">
        <v>44866</v>
      </c>
      <c r="B63" s="16">
        <v>9.4799355249668125</v>
      </c>
    </row>
    <row r="64" spans="1:2" x14ac:dyDescent="0.35">
      <c r="A64" s="13">
        <v>44896</v>
      </c>
      <c r="B64" s="16">
        <v>9.7085314189488745</v>
      </c>
    </row>
    <row r="65" spans="1:2" x14ac:dyDescent="0.35">
      <c r="A65" s="13">
        <v>44927</v>
      </c>
      <c r="B65" s="16">
        <v>5.4084542475270521</v>
      </c>
    </row>
    <row r="66" spans="1:2" x14ac:dyDescent="0.35">
      <c r="A66" s="13">
        <v>44958</v>
      </c>
      <c r="B66" s="16">
        <v>4.4855175256821491</v>
      </c>
    </row>
    <row r="67" spans="1:2" x14ac:dyDescent="0.35">
      <c r="A67" s="13">
        <v>44986</v>
      </c>
      <c r="B67" s="16">
        <v>3.7310411750273169</v>
      </c>
    </row>
    <row r="68" spans="1:2" x14ac:dyDescent="0.35">
      <c r="A68" s="13">
        <v>45017</v>
      </c>
      <c r="B68" s="16">
        <v>3.6513676026399691</v>
      </c>
    </row>
    <row r="69" spans="1:2" x14ac:dyDescent="0.35">
      <c r="A69" s="13">
        <v>45047</v>
      </c>
      <c r="B69" s="16">
        <v>2.7363679033894068</v>
      </c>
    </row>
    <row r="70" spans="1:2" x14ac:dyDescent="0.35">
      <c r="A70" s="13">
        <v>45078</v>
      </c>
      <c r="B70" s="16">
        <v>2.824398977615687</v>
      </c>
    </row>
    <row r="71" spans="1:2" x14ac:dyDescent="0.35">
      <c r="A71" s="13">
        <v>45108</v>
      </c>
      <c r="B71" s="16">
        <v>2.5815080674573805</v>
      </c>
    </row>
    <row r="72" spans="1:2" x14ac:dyDescent="0.35">
      <c r="A72" s="13">
        <v>45139</v>
      </c>
      <c r="B72" s="16">
        <v>3.0378360524257086</v>
      </c>
    </row>
    <row r="73" spans="1:2" x14ac:dyDescent="0.35">
      <c r="A73" s="13">
        <v>45170</v>
      </c>
      <c r="B73" s="16">
        <v>3.1400015008805977</v>
      </c>
    </row>
    <row r="74" spans="1:2" x14ac:dyDescent="0.35">
      <c r="A74" s="13">
        <v>45200</v>
      </c>
      <c r="B74" s="16">
        <v>3.9004898762838445</v>
      </c>
    </row>
    <row r="75" spans="1:2" x14ac:dyDescent="0.35">
      <c r="A75" s="13">
        <v>45231</v>
      </c>
      <c r="B75" s="16">
        <v>3.8902404587402892</v>
      </c>
    </row>
    <row r="76" spans="1:2" x14ac:dyDescent="0.35">
      <c r="A76" s="13">
        <v>45261</v>
      </c>
      <c r="B76" s="16">
        <v>3.0878883376457749</v>
      </c>
    </row>
    <row r="77" spans="1:2" x14ac:dyDescent="0.35">
      <c r="A77" s="13">
        <v>45292</v>
      </c>
      <c r="B77" s="16">
        <v>2.5959004073660465</v>
      </c>
    </row>
    <row r="78" spans="1:2" x14ac:dyDescent="0.35">
      <c r="A78" s="13">
        <v>45323</v>
      </c>
      <c r="B78" s="16">
        <v>2.2068259105362924</v>
      </c>
    </row>
    <row r="79" spans="1:2" x14ac:dyDescent="0.35">
      <c r="A79" s="13">
        <v>45352</v>
      </c>
      <c r="B79" s="16">
        <v>2.3097844174155666</v>
      </c>
    </row>
    <row r="80" spans="1:2" x14ac:dyDescent="0.35">
      <c r="A80" s="13">
        <v>45383</v>
      </c>
      <c r="B80" s="16">
        <v>2.4380660265302909</v>
      </c>
    </row>
    <row r="81" spans="1:2" x14ac:dyDescent="0.35">
      <c r="A81" s="13">
        <v>45413</v>
      </c>
      <c r="B81" s="16">
        <v>2.7165205593849699</v>
      </c>
    </row>
    <row r="82" spans="1:2" x14ac:dyDescent="0.35">
      <c r="A82" s="13">
        <v>45444</v>
      </c>
      <c r="B82" s="16">
        <v>2.9123884974726839</v>
      </c>
    </row>
    <row r="83" spans="1:2" x14ac:dyDescent="0.35">
      <c r="A83" s="13">
        <v>45474</v>
      </c>
      <c r="B83" s="16">
        <v>2.7745179828199973</v>
      </c>
    </row>
    <row r="84" spans="1:2" x14ac:dyDescent="0.35">
      <c r="A84" s="13">
        <v>45505</v>
      </c>
      <c r="B84" s="16">
        <v>3.3173978465413136</v>
      </c>
    </row>
    <row r="85" spans="1:2" x14ac:dyDescent="0.35">
      <c r="A85" s="13">
        <v>45536</v>
      </c>
      <c r="B85" s="16">
        <v>3.1678490546193063</v>
      </c>
    </row>
    <row r="86" spans="1:2" x14ac:dyDescent="0.35">
      <c r="A86" s="13">
        <v>45566</v>
      </c>
      <c r="B86" s="16">
        <v>3.4607446889101525</v>
      </c>
    </row>
    <row r="87" spans="1:2" x14ac:dyDescent="0.35">
      <c r="A87" s="13">
        <v>45597</v>
      </c>
      <c r="B87" s="16">
        <v>3.7204654639266335</v>
      </c>
    </row>
    <row r="88" spans="1:2" x14ac:dyDescent="0.35">
      <c r="A88" s="13">
        <v>45627</v>
      </c>
      <c r="B88" s="16">
        <v>3.7024650141730162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Plant Costs | CAPEX and OPEX</vt:lpstr>
      <vt:lpstr>Steam Prices Calculations</vt:lpstr>
      <vt:lpstr>Historical Prices References</vt:lpstr>
      <vt:lpstr>Re-costed Prices Calculations</vt:lpstr>
      <vt:lpstr>Elec</vt:lpstr>
      <vt:lpstr>EO</vt:lpstr>
      <vt:lpstr>C2E</vt:lpstr>
      <vt:lpstr>EB</vt:lpstr>
      <vt:lpstr>BZ</vt:lpstr>
      <vt:lpstr>MEG</vt:lpstr>
      <vt:lpstr>MeOH</vt:lpstr>
      <vt:lpstr>MTBE</vt:lpstr>
      <vt:lpstr>TBA</vt:lpstr>
      <vt:lpstr>iCfourA</vt:lpstr>
      <vt:lpstr>Naphtha</vt:lpstr>
      <vt:lpstr>CthreeE</vt:lpstr>
      <vt:lpstr>Buta</vt:lpstr>
      <vt:lpstr>nC4A</vt:lpstr>
      <vt:lpstr>PO</vt:lpstr>
      <vt:lpstr>PG</vt:lpstr>
      <vt:lpstr>Styrene</vt:lpstr>
      <vt:lpstr>HCHO</vt:lpstr>
      <vt:lpstr>Pxylene</vt:lpstr>
      <vt:lpstr>Diesel</vt:lpstr>
      <vt:lpstr>VGO</vt:lpstr>
      <vt:lpstr>iCfourE</vt:lpstr>
      <vt:lpstr>PP</vt:lpstr>
      <vt:lpstr>PE</vt:lpstr>
      <vt:lpstr>O2</vt:lpstr>
      <vt:lpstr>Biomass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Moradvandi</dc:creator>
  <cp:lastModifiedBy>Ali Moradvandi</cp:lastModifiedBy>
  <cp:lastPrinted>2025-04-14T08:26:07Z</cp:lastPrinted>
  <dcterms:created xsi:type="dcterms:W3CDTF">2015-06-05T18:17:20Z</dcterms:created>
  <dcterms:modified xsi:type="dcterms:W3CDTF">2025-09-29T08:32:39Z</dcterms:modified>
</cp:coreProperties>
</file>